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ADB27F90-E5E5-469F-9169-A217BAE49A5B}" xr6:coauthVersionLast="47" xr6:coauthVersionMax="47" xr10:uidLastSave="{00000000-0000-0000-0000-000000000000}"/>
  <bookViews>
    <workbookView xWindow="-120" yWindow="-120" windowWidth="20730" windowHeight="11760" firstSheet="1" activeTab="5" xr2:uid="{00000000-000D-0000-FFFF-FFFF00000000}"/>
  </bookViews>
  <sheets>
    <sheet name="README" sheetId="2" state="hidden" r:id="rId1"/>
    <sheet name="Raw_Data" sheetId="1" r:id="rId2"/>
    <sheet name="Work" sheetId="3" r:id="rId3"/>
    <sheet name="Pivot_Table" sheetId="4" state="hidden" r:id="rId4"/>
    <sheet name="Pivot_Table_2" sheetId="7" state="hidden" r:id="rId5"/>
    <sheet name="Dashboard" sheetId="6" r:id="rId6"/>
  </sheets>
  <definedNames>
    <definedName name="Slicer_District">#N/A</definedName>
    <definedName name="Slicer_Gender">#N/A</definedName>
    <definedName name="Slicer_Province">#N/A</definedName>
  </definedNames>
  <calcPr calcId="191029"/>
  <pivotCaches>
    <pivotCache cacheId="25"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9" i="3" l="1"/>
  <c r="C34" i="3"/>
</calcChain>
</file>

<file path=xl/sharedStrings.xml><?xml version="1.0" encoding="utf-8"?>
<sst xmlns="http://schemas.openxmlformats.org/spreadsheetml/2006/main" count="2423" uniqueCount="431">
  <si>
    <t>Zambia Community Health Programme — Patient Intake Records 2023</t>
  </si>
  <si>
    <t>Source: WeCare HealthData Consultancy — Dummy Dataset for Portfolio Use</t>
  </si>
  <si>
    <t>Patient_ID</t>
  </si>
  <si>
    <t>Full_Name</t>
  </si>
  <si>
    <t>Age</t>
  </si>
  <si>
    <t>Gender</t>
  </si>
  <si>
    <t>Province</t>
  </si>
  <si>
    <t>District</t>
  </si>
  <si>
    <t>Disease</t>
  </si>
  <si>
    <t>Visit_Date</t>
  </si>
  <si>
    <t>Visit_Quarter</t>
  </si>
  <si>
    <t>Referral_Source</t>
  </si>
  <si>
    <t>Test_Result</t>
  </si>
  <si>
    <t>Outcome</t>
  </si>
  <si>
    <t>Follow_Up</t>
  </si>
  <si>
    <t>ZMB-001</t>
  </si>
  <si>
    <t>Musonda Tembo</t>
  </si>
  <si>
    <t>Male</t>
  </si>
  <si>
    <t>North-Western</t>
  </si>
  <si>
    <t>Solwezi</t>
  </si>
  <si>
    <t>TB</t>
  </si>
  <si>
    <t>2023-07-02</t>
  </si>
  <si>
    <t>Q3</t>
  </si>
  <si>
    <t>Community Health Worker</t>
  </si>
  <si>
    <t>Negative</t>
  </si>
  <si>
    <t>Deceased</t>
  </si>
  <si>
    <t>Yes</t>
  </si>
  <si>
    <t>ZMB-002</t>
  </si>
  <si>
    <t>Kampamba Kapembwa</t>
  </si>
  <si>
    <t>Unknown</t>
  </si>
  <si>
    <t>Central</t>
  </si>
  <si>
    <t>Kapiri Mposhi</t>
  </si>
  <si>
    <t>Malaria</t>
  </si>
  <si>
    <t>2023-03-23</t>
  </si>
  <si>
    <t>Q1</t>
  </si>
  <si>
    <t>Hospital Referral</t>
  </si>
  <si>
    <t>Positive</t>
  </si>
  <si>
    <t>Recovered</t>
  </si>
  <si>
    <t>ZMB-003</t>
  </si>
  <si>
    <t>Samuel Mwangi</t>
  </si>
  <si>
    <t>Female</t>
  </si>
  <si>
    <t>Copperbelt</t>
  </si>
  <si>
    <t>Chingola</t>
  </si>
  <si>
    <t>Malnutrition</t>
  </si>
  <si>
    <t>2023-10-09</t>
  </si>
  <si>
    <t>Q4</t>
  </si>
  <si>
    <t>Referred</t>
  </si>
  <si>
    <t>ZMB-004</t>
  </si>
  <si>
    <t>Precious Phiri</t>
  </si>
  <si>
    <t>Ndola</t>
  </si>
  <si>
    <t>HIV/AIDS</t>
  </si>
  <si>
    <t>2023-05-03</t>
  </si>
  <si>
    <t>Q2</t>
  </si>
  <si>
    <t>NGO Outreach</t>
  </si>
  <si>
    <t>No</t>
  </si>
  <si>
    <t>ZMB-005</t>
  </si>
  <si>
    <t>Lubuto Bwalya</t>
  </si>
  <si>
    <t>female</t>
  </si>
  <si>
    <t>Western</t>
  </si>
  <si>
    <t>Senanga</t>
  </si>
  <si>
    <t>Pneumonia</t>
  </si>
  <si>
    <t>2023-12-22</t>
  </si>
  <si>
    <t>Self-Referral</t>
  </si>
  <si>
    <t>N/A</t>
  </si>
  <si>
    <t>ZMB-006</t>
  </si>
  <si>
    <t>Daliso Lungu</t>
  </si>
  <si>
    <t>Mwinilunga</t>
  </si>
  <si>
    <t>2023-01-08</t>
  </si>
  <si>
    <t>ZMB-007</t>
  </si>
  <si>
    <t>Mary Daka</t>
  </si>
  <si>
    <t>Eastern</t>
  </si>
  <si>
    <t>Lundazi</t>
  </si>
  <si>
    <t>Typhoid</t>
  </si>
  <si>
    <t>2023-11-15</t>
  </si>
  <si>
    <t>ZMB-008</t>
  </si>
  <si>
    <t>Wiza Kafwembe</t>
  </si>
  <si>
    <t>Luapula</t>
  </si>
  <si>
    <t>Kawambwa</t>
  </si>
  <si>
    <t>2023-04-05</t>
  </si>
  <si>
    <t>ZMB-009</t>
  </si>
  <si>
    <t>James Bwalya</t>
  </si>
  <si>
    <t>Muchinga</t>
  </si>
  <si>
    <t>Mpika</t>
  </si>
  <si>
    <t>2023-08-17</t>
  </si>
  <si>
    <t>ZMB-010</t>
  </si>
  <si>
    <t>Daliso Tembo</t>
  </si>
  <si>
    <t>MALE</t>
  </si>
  <si>
    <t>Mongu</t>
  </si>
  <si>
    <t>2023-07-06</t>
  </si>
  <si>
    <t>ZMB-011</t>
  </si>
  <si>
    <t>Kunda Mbewe</t>
  </si>
  <si>
    <t>Cholera</t>
  </si>
  <si>
    <t>2023-06-25</t>
  </si>
  <si>
    <t>ZMB-012</t>
  </si>
  <si>
    <t>Mapalo Mutale</t>
  </si>
  <si>
    <t>Northern</t>
  </si>
  <si>
    <t>Mbala</t>
  </si>
  <si>
    <t>2023-04-19</t>
  </si>
  <si>
    <t>ZMB-013</t>
  </si>
  <si>
    <t>Kunda Kafwembe</t>
  </si>
  <si>
    <t>2023-09-28</t>
  </si>
  <si>
    <t>ZMB-014</t>
  </si>
  <si>
    <t>Mwamba Daka</t>
  </si>
  <si>
    <t>Mkushi</t>
  </si>
  <si>
    <t>2023-04-08</t>
  </si>
  <si>
    <t>ZMB-015</t>
  </si>
  <si>
    <t>Benson Lungu</t>
  </si>
  <si>
    <t>Lusaka</t>
  </si>
  <si>
    <t>Kafue</t>
  </si>
  <si>
    <t>malaria</t>
  </si>
  <si>
    <t>2023-01-28</t>
  </si>
  <si>
    <t>ZMB-016</t>
  </si>
  <si>
    <t>Francis Nsofu</t>
  </si>
  <si>
    <t>2023-08-26</t>
  </si>
  <si>
    <t>Under Treatment</t>
  </si>
  <si>
    <t>ZMB-017</t>
  </si>
  <si>
    <t>Felicity Nkonde</t>
  </si>
  <si>
    <t>2023-07-24</t>
  </si>
  <si>
    <t>ZMB-018</t>
  </si>
  <si>
    <t>Towela Kafwembe</t>
  </si>
  <si>
    <t>Mpulungu</t>
  </si>
  <si>
    <t>2023-02-15</t>
  </si>
  <si>
    <t>ZMB-019</t>
  </si>
  <si>
    <t>Peter Mwangi</t>
  </si>
  <si>
    <t>ZMB-020</t>
  </si>
  <si>
    <t>Mirriam Zombe</t>
  </si>
  <si>
    <t>Zambezi</t>
  </si>
  <si>
    <t>tb</t>
  </si>
  <si>
    <t>2023-04-10</t>
  </si>
  <si>
    <t>ZMB-021</t>
  </si>
  <si>
    <t>Yvonne Banda</t>
  </si>
  <si>
    <t>2023-09-06</t>
  </si>
  <si>
    <t>ZMB-022</t>
  </si>
  <si>
    <t>Mary Kapembwa</t>
  </si>
  <si>
    <t>Mansa</t>
  </si>
  <si>
    <t>2023-11-19</t>
  </si>
  <si>
    <t>ZMB-023</t>
  </si>
  <si>
    <t>Natasha Mutale</t>
  </si>
  <si>
    <t>2023-02-01</t>
  </si>
  <si>
    <t>ZMB-024</t>
  </si>
  <si>
    <t>Mary Kafwembe</t>
  </si>
  <si>
    <t>2023-06-10</t>
  </si>
  <si>
    <t>ZMB-025</t>
  </si>
  <si>
    <t>Chisomo Kapembwa</t>
  </si>
  <si>
    <t>Chavuma</t>
  </si>
  <si>
    <t>2023-03-09</t>
  </si>
  <si>
    <t>ZMB-026</t>
  </si>
  <si>
    <t>Francis Sakala</t>
  </si>
  <si>
    <t>2023-01-03</t>
  </si>
  <si>
    <t>ZMB-027</t>
  </si>
  <si>
    <t>Nkandu Mwangi</t>
  </si>
  <si>
    <t>2023-01-04</t>
  </si>
  <si>
    <t>ZMB-028</t>
  </si>
  <si>
    <t>Godfrey Musonda</t>
  </si>
  <si>
    <t>Chongwe</t>
  </si>
  <si>
    <t>2023-01-12</t>
  </si>
  <si>
    <t>ZMB-029</t>
  </si>
  <si>
    <t>Chola Kafwembe</t>
  </si>
  <si>
    <t>Petauke</t>
  </si>
  <si>
    <t>2023-07-01</t>
  </si>
  <si>
    <t>ZMB-030</t>
  </si>
  <si>
    <t>Wiza Zombe</t>
  </si>
  <si>
    <t>Chinsali</t>
  </si>
  <si>
    <t>2023-04-07</t>
  </si>
  <si>
    <t>ZMB-031</t>
  </si>
  <si>
    <t>Luyando Mwale</t>
  </si>
  <si>
    <t>Kasama</t>
  </si>
  <si>
    <t>2023-06-21</t>
  </si>
  <si>
    <t>ZMB-032</t>
  </si>
  <si>
    <t>David Kabamba</t>
  </si>
  <si>
    <t>2023-07-12</t>
  </si>
  <si>
    <t>ZMB-033</t>
  </si>
  <si>
    <t>David Chanda</t>
  </si>
  <si>
    <t>Luangwa</t>
  </si>
  <si>
    <t>2023-09-26</t>
  </si>
  <si>
    <t>ZMB-034</t>
  </si>
  <si>
    <t>Felicity Mutale</t>
  </si>
  <si>
    <t>2023-06-13</t>
  </si>
  <si>
    <t>ZMB-035</t>
  </si>
  <si>
    <t>Chileshe Nsofu</t>
  </si>
  <si>
    <t>15/06/2023</t>
  </si>
  <si>
    <t>ZMB-036</t>
  </si>
  <si>
    <t>Mulenga Mulenga</t>
  </si>
  <si>
    <t>Southern</t>
  </si>
  <si>
    <t>Livingstone</t>
  </si>
  <si>
    <t>2023-09-22</t>
  </si>
  <si>
    <t>ZMB-037</t>
  </si>
  <si>
    <t>Chisomo Lungu</t>
  </si>
  <si>
    <t>2023-10-28</t>
  </si>
  <si>
    <t>ZMB-038</t>
  </si>
  <si>
    <t>Mutinta Daka</t>
  </si>
  <si>
    <t>Isoka</t>
  </si>
  <si>
    <t>2023-11-23</t>
  </si>
  <si>
    <t>ZMB-039</t>
  </si>
  <si>
    <t>Edwin Zombe</t>
  </si>
  <si>
    <t>2023-08-05</t>
  </si>
  <si>
    <t>ZMB-040</t>
  </si>
  <si>
    <t>Mulenga Mwangi</t>
  </si>
  <si>
    <t>2023/09/22</t>
  </si>
  <si>
    <t>ZMB-041</t>
  </si>
  <si>
    <t>Musonda Mwansa</t>
  </si>
  <si>
    <t>Katete</t>
  </si>
  <si>
    <t>2023-02-23</t>
  </si>
  <si>
    <t>ZMB-042</t>
  </si>
  <si>
    <t>Mulenga Kabamba</t>
  </si>
  <si>
    <t>2023-12-07</t>
  </si>
  <si>
    <t>ZMB-043</t>
  </si>
  <si>
    <t>Yvonne Mulenga</t>
  </si>
  <si>
    <t>2023-07-16</t>
  </si>
  <si>
    <t>ZMB-044</t>
  </si>
  <si>
    <t>Chileshe Kafwembe</t>
  </si>
  <si>
    <t>Serenje</t>
  </si>
  <si>
    <t>ZMB-045</t>
  </si>
  <si>
    <t>Chilufya Zombe</t>
  </si>
  <si>
    <t>2023-10-19</t>
  </si>
  <si>
    <t>positive</t>
  </si>
  <si>
    <t>ZMB-046</t>
  </si>
  <si>
    <t>Lubuto Mbewe</t>
  </si>
  <si>
    <t>Lukulu</t>
  </si>
  <si>
    <t>2023-07-09</t>
  </si>
  <si>
    <t>ZMB-047</t>
  </si>
  <si>
    <t>ZMB-048</t>
  </si>
  <si>
    <t>Charity Kabwe</t>
  </si>
  <si>
    <t>2023-03-20</t>
  </si>
  <si>
    <t>ZMB-049</t>
  </si>
  <si>
    <t>Chikonde Mwale</t>
  </si>
  <si>
    <t>2023-10-23</t>
  </si>
  <si>
    <t>ZMB-050</t>
  </si>
  <si>
    <t>Mapalo Zombe</t>
  </si>
  <si>
    <t>2023-02-17</t>
  </si>
  <si>
    <t>negative</t>
  </si>
  <si>
    <t>ZMB-051</t>
  </si>
  <si>
    <t>Nomsa Nkonde</t>
  </si>
  <si>
    <t>2023-11-09</t>
  </si>
  <si>
    <t>ZMB-052</t>
  </si>
  <si>
    <t>Chikonde Mwansa</t>
  </si>
  <si>
    <t>2023-08-19</t>
  </si>
  <si>
    <t>ZMB-053</t>
  </si>
  <si>
    <t>Mulenga Mbewe</t>
  </si>
  <si>
    <t>Kalabo</t>
  </si>
  <si>
    <t>2023-12-09</t>
  </si>
  <si>
    <t>ZMB-054</t>
  </si>
  <si>
    <t>Kelvin Siame</t>
  </si>
  <si>
    <t>ZMB-056</t>
  </si>
  <si>
    <t>Chisomo Mwansa</t>
  </si>
  <si>
    <t>Kitwe</t>
  </si>
  <si>
    <t>2023-04-24</t>
  </si>
  <si>
    <t>ZMB-057</t>
  </si>
  <si>
    <t>Mapalo Sakala</t>
  </si>
  <si>
    <t>2023-05-01</t>
  </si>
  <si>
    <t>ZMB-058</t>
  </si>
  <si>
    <t>Benson Sakala</t>
  </si>
  <si>
    <t>2023-05-16</t>
  </si>
  <si>
    <t>ZMB-059</t>
  </si>
  <si>
    <t>John Mwansa</t>
  </si>
  <si>
    <t>Mufulira</t>
  </si>
  <si>
    <t>2023-02-19</t>
  </si>
  <si>
    <t>ZMB-060</t>
  </si>
  <si>
    <t>Chisomo Phiri</t>
  </si>
  <si>
    <t>Nchelenge</t>
  </si>
  <si>
    <t>2023-07-15</t>
  </si>
  <si>
    <t>ZMB-061</t>
  </si>
  <si>
    <t>Chisomo Musonda</t>
  </si>
  <si>
    <t>2023-03-08</t>
  </si>
  <si>
    <t>ZMB-062</t>
  </si>
  <si>
    <t>Chanda Nkonde</t>
  </si>
  <si>
    <t>2023-05-23</t>
  </si>
  <si>
    <t>ZMB-063</t>
  </si>
  <si>
    <t>Luyando Mwansa</t>
  </si>
  <si>
    <t>2023-04-21</t>
  </si>
  <si>
    <t>ZMB-064</t>
  </si>
  <si>
    <t>John Mbewe</t>
  </si>
  <si>
    <t>Kabwe</t>
  </si>
  <si>
    <t>2023-12-10</t>
  </si>
  <si>
    <t>ZMB-065</t>
  </si>
  <si>
    <t>Chipo Mulenga</t>
  </si>
  <si>
    <t>2023-11-27</t>
  </si>
  <si>
    <t>ZMB-066</t>
  </si>
  <si>
    <t>Kunda Mwangi</t>
  </si>
  <si>
    <t>2023-07-21</t>
  </si>
  <si>
    <t>ZMB-067</t>
  </si>
  <si>
    <t>Chileshe Mutale</t>
  </si>
  <si>
    <t>2023-05-22</t>
  </si>
  <si>
    <t>ZMB-068</t>
  </si>
  <si>
    <t>Peter Mutale</t>
  </si>
  <si>
    <t>2023-08-14</t>
  </si>
  <si>
    <t>ZMB-069</t>
  </si>
  <si>
    <t>Kondwani Mwangi</t>
  </si>
  <si>
    <t>2023-03-10</t>
  </si>
  <si>
    <t>ZMB-070</t>
  </si>
  <si>
    <t>Musonda Kapembwa</t>
  </si>
  <si>
    <t>2023-07-03</t>
  </si>
  <si>
    <t>ZMB-071</t>
  </si>
  <si>
    <t>Taonga Mfune</t>
  </si>
  <si>
    <t>2023-04-15</t>
  </si>
  <si>
    <t>ZMB-072</t>
  </si>
  <si>
    <t>Kampamba Siame</t>
  </si>
  <si>
    <t>Nakonde</t>
  </si>
  <si>
    <t>2023-05-27</t>
  </si>
  <si>
    <t>ZMB-073</t>
  </si>
  <si>
    <t>Chikonde Nsofu</t>
  </si>
  <si>
    <t>2023-06-18</t>
  </si>
  <si>
    <t>ZMB-074</t>
  </si>
  <si>
    <t>Mwamba Lungu</t>
  </si>
  <si>
    <t>2023-12-26</t>
  </si>
  <si>
    <t>ZMB-075</t>
  </si>
  <si>
    <t>Grace Zulu</t>
  </si>
  <si>
    <t>2023-09-15</t>
  </si>
  <si>
    <t>ZMB-076</t>
  </si>
  <si>
    <t>James Phiri</t>
  </si>
  <si>
    <t>2023-06-28</t>
  </si>
  <si>
    <t>ZMB-077</t>
  </si>
  <si>
    <t>Grace Kapembwa</t>
  </si>
  <si>
    <t>ZMB-078</t>
  </si>
  <si>
    <t>John Sakala</t>
  </si>
  <si>
    <t>2023-11-26</t>
  </si>
  <si>
    <t>ZMB-079</t>
  </si>
  <si>
    <t>Kondwani Chishala</t>
  </si>
  <si>
    <t>2023-08-21</t>
  </si>
  <si>
    <t>ZMB-080</t>
  </si>
  <si>
    <t>Chanda Kabamba</t>
  </si>
  <si>
    <t>2023-10-10</t>
  </si>
  <si>
    <t>ZMB-081</t>
  </si>
  <si>
    <t>Towela Chanda</t>
  </si>
  <si>
    <t>ZMB-082</t>
  </si>
  <si>
    <t>Chanda Musonda</t>
  </si>
  <si>
    <t>2023-06-08</t>
  </si>
  <si>
    <t>ZMB-083</t>
  </si>
  <si>
    <t>Kunda Siame</t>
  </si>
  <si>
    <t>2023-01-19</t>
  </si>
  <si>
    <t>ZMB-084</t>
  </si>
  <si>
    <t>Mulenga Siame</t>
  </si>
  <si>
    <t>2023-09-09</t>
  </si>
  <si>
    <t>ZMB-085</t>
  </si>
  <si>
    <t>Wiza Chishala</t>
  </si>
  <si>
    <t>2023-11-24</t>
  </si>
  <si>
    <t>ZMB-086</t>
  </si>
  <si>
    <t>Monde Mwale</t>
  </si>
  <si>
    <t>2023-07-27</t>
  </si>
  <si>
    <t>ZMB-087</t>
  </si>
  <si>
    <t>Mutale Kapembwa</t>
  </si>
  <si>
    <t>ZMB-088</t>
  </si>
  <si>
    <t>Charity Banda</t>
  </si>
  <si>
    <t>2023-09-05</t>
  </si>
  <si>
    <t>ZMB-089</t>
  </si>
  <si>
    <t>Wiza Chipoka</t>
  </si>
  <si>
    <t>2023-10-14</t>
  </si>
  <si>
    <t>ZMB-090</t>
  </si>
  <si>
    <t>Temwani Mulenga</t>
  </si>
  <si>
    <t>ZMB-091</t>
  </si>
  <si>
    <t>Felicity Daka</t>
  </si>
  <si>
    <t>2023-03-26</t>
  </si>
  <si>
    <t>ZMB-092</t>
  </si>
  <si>
    <t>Chikonde Daka</t>
  </si>
  <si>
    <t>2023-03-05</t>
  </si>
  <si>
    <t>ZMB-093</t>
  </si>
  <si>
    <t>Mutale Zulu</t>
  </si>
  <si>
    <t>2023-12-14</t>
  </si>
  <si>
    <t>ZMB-094</t>
  </si>
  <si>
    <t>Chola Mumba</t>
  </si>
  <si>
    <t>2023-01-24</t>
  </si>
  <si>
    <t>ZMB-095</t>
  </si>
  <si>
    <t>Nakonde Chishala</t>
  </si>
  <si>
    <t>2023-06-20</t>
  </si>
  <si>
    <t>ZMB-096</t>
  </si>
  <si>
    <t>Kondwani Bwalya</t>
  </si>
  <si>
    <t>Samfya</t>
  </si>
  <si>
    <t>2023-09-20</t>
  </si>
  <si>
    <t>ZMB-097</t>
  </si>
  <si>
    <t>Taonga Kabamba</t>
  </si>
  <si>
    <t>2023-06-27</t>
  </si>
  <si>
    <t>ZMB-098</t>
  </si>
  <si>
    <t>Nomsa Mutale</t>
  </si>
  <si>
    <t>Mazabuka</t>
  </si>
  <si>
    <t>2023-02-27</t>
  </si>
  <si>
    <t>ZMB-099</t>
  </si>
  <si>
    <t>Wiza Siame</t>
  </si>
  <si>
    <t>ZMB-100</t>
  </si>
  <si>
    <t>Chisomo Mumba</t>
  </si>
  <si>
    <t>2023-02-12</t>
  </si>
  <si>
    <t>DATASET README</t>
  </si>
  <si>
    <t>Dataset Name</t>
  </si>
  <si>
    <t>Created By</t>
  </si>
  <si>
    <t>WeCare HealthData Consultancy</t>
  </si>
  <si>
    <t>Purpose</t>
  </si>
  <si>
    <t>Portfolio practice dataset — data cleaning, analysis and visualisation</t>
  </si>
  <si>
    <t>Records</t>
  </si>
  <si>
    <t>100 patient records across 10 Zambian provinces</t>
  </si>
  <si>
    <t>Time Period</t>
  </si>
  <si>
    <t>January 2023 — December 2023</t>
  </si>
  <si>
    <t>Diseases Covered</t>
  </si>
  <si>
    <t>Malaria, TB, Cholera, HIV/AIDS, Pneumonia, Malnutrition, Typhoid</t>
  </si>
  <si>
    <t>Provinces</t>
  </si>
  <si>
    <t>All 10 Zambian provinces represented</t>
  </si>
  <si>
    <t>Note</t>
  </si>
  <si>
    <t>This is a DUMMY dataset created for learning and portfolio purposes only. It does not represent real patient data.</t>
  </si>
  <si>
    <t>KNOWN DATA ISSUES TO CLEAN</t>
  </si>
  <si>
    <t>Issue 1</t>
  </si>
  <si>
    <t>Inconsistent Gender casing — female, MALE etc.</t>
  </si>
  <si>
    <t>Issue 2</t>
  </si>
  <si>
    <t>Inconsistent Disease casing — malaria, tb etc.</t>
  </si>
  <si>
    <t>Issue 3</t>
  </si>
  <si>
    <t>Missing Age values — blank cells</t>
  </si>
  <si>
    <t>Issue 4</t>
  </si>
  <si>
    <t>Inconsistent date formats — DD/MM/YYYY and YYYY/MM/DD mixed in</t>
  </si>
  <si>
    <t>Issue 5</t>
  </si>
  <si>
    <t>Inconsistent Test_Result casing — positive, negative</t>
  </si>
  <si>
    <t>Issue 6</t>
  </si>
  <si>
    <t>One duplicate record present</t>
  </si>
  <si>
    <t>SUGGESTED ANALYSES</t>
  </si>
  <si>
    <t>Analysis 1</t>
  </si>
  <si>
    <t>Disease burden by province — which province has the most cases of each disease?</t>
  </si>
  <si>
    <t>Analysis 2</t>
  </si>
  <si>
    <t>Quarterly trend — how did patient volumes change across Q1–Q4?</t>
  </si>
  <si>
    <t>Analysis 3</t>
  </si>
  <si>
    <t>Outcome analysis — what % of patients recovered vs under treatment vs deceased?</t>
  </si>
  <si>
    <t>Analysis 4</t>
  </si>
  <si>
    <t>Referral source analysis — which referral channel brings in the most patients?</t>
  </si>
  <si>
    <t>Analysis 5</t>
  </si>
  <si>
    <t>Age group breakdown — Child, Adult, Elder distribution by disease</t>
  </si>
  <si>
    <t>Analysis 6</t>
  </si>
  <si>
    <t>Follow-up rate — what proportion of patients require follow-up?</t>
  </si>
  <si>
    <t>Analysis 7</t>
  </si>
  <si>
    <t>Gender breakdown by disease — are any diseases skewed by gender?</t>
  </si>
  <si>
    <t>Row Labels</t>
  </si>
  <si>
    <t>Grand Total</t>
  </si>
  <si>
    <t>Column Labels</t>
  </si>
  <si>
    <t>Count of Disease</t>
  </si>
  <si>
    <t>Count of Outcome</t>
  </si>
  <si>
    <t>Count of Follow_Up</t>
  </si>
  <si>
    <t>Incoming Patient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</si>
</sst>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yyyy\-mm\-dd;@"/>
    <numFmt numFmtId="167" formatCode="0.0%"/>
  </numFmts>
  <fonts count="11" x14ac:knownFonts="1">
    <font>
      <sz val="11"/>
      <color theme="1"/>
      <name val="Calibri"/>
      <family val="2"/>
      <scheme val="minor"/>
    </font>
    <font>
      <b/>
      <sz val="13"/>
      <color rgb="FF0D7377"/>
      <name val="Arial"/>
    </font>
    <font>
      <i/>
      <sz val="10"/>
      <color rgb="FF777777"/>
      <name val="Arial"/>
    </font>
    <font>
      <b/>
      <sz val="10"/>
      <color rgb="FFFFFFFF"/>
      <name val="Arial"/>
    </font>
    <font>
      <sz val="10"/>
      <color rgb="FF1A1A2E"/>
      <name val="Arial"/>
    </font>
    <font>
      <b/>
      <sz val="14"/>
      <color rgb="FFFFFFFF"/>
      <name val="Arial"/>
    </font>
    <font>
      <b/>
      <sz val="10"/>
      <color rgb="FF0D7377"/>
      <name val="Arial"/>
    </font>
    <font>
      <b/>
      <sz val="11"/>
      <color rgb="FFFFFFFF"/>
      <name val="Arial"/>
    </font>
    <font>
      <sz val="10"/>
      <color rgb="FF1A1A2E"/>
      <name val="Arial"/>
      <family val="2"/>
    </font>
    <font>
      <b/>
      <sz val="36"/>
      <color theme="1"/>
      <name val="Times New Roman"/>
      <family val="1"/>
    </font>
    <font>
      <b/>
      <sz val="26"/>
      <color theme="1"/>
      <name val="Arial Black"/>
      <family val="2"/>
    </font>
  </fonts>
  <fills count="11">
    <fill>
      <patternFill patternType="none"/>
    </fill>
    <fill>
      <patternFill patternType="gray125"/>
    </fill>
    <fill>
      <patternFill patternType="solid">
        <fgColor rgb="FF0D7377"/>
      </patternFill>
    </fill>
    <fill>
      <patternFill patternType="solid">
        <fgColor rgb="FFFFFFFF"/>
      </patternFill>
    </fill>
    <fill>
      <patternFill patternType="solid">
        <fgColor rgb="FFF5F5F5"/>
      </patternFill>
    </fill>
    <fill>
      <patternFill patternType="solid">
        <fgColor rgb="FFFDECEA"/>
      </patternFill>
    </fill>
    <fill>
      <patternFill patternType="solid">
        <fgColor rgb="FFD0ECEC"/>
      </patternFill>
    </fill>
    <fill>
      <patternFill patternType="solid">
        <fgColor theme="1" tint="0.499984740745262"/>
        <bgColor indexed="64"/>
      </patternFill>
    </fill>
    <fill>
      <patternFill patternType="solid">
        <fgColor theme="3" tint="0.39997558519241921"/>
        <bgColor indexed="64"/>
      </patternFill>
    </fill>
    <fill>
      <patternFill patternType="solid">
        <fgColor theme="1" tint="0.14999847407452621"/>
        <bgColor indexed="64"/>
      </patternFill>
    </fill>
    <fill>
      <patternFill patternType="solid">
        <fgColor theme="5"/>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s>
  <cellStyleXfs count="1">
    <xf numFmtId="0" fontId="0" fillId="0" borderId="0"/>
  </cellStyleXfs>
  <cellXfs count="40">
    <xf numFmtId="0" fontId="0" fillId="0" borderId="0" xfId="0"/>
    <xf numFmtId="0" fontId="3" fillId="2" borderId="1" xfId="0" applyFont="1" applyFill="1" applyBorder="1" applyAlignment="1">
      <alignment horizontal="center" vertical="center"/>
    </xf>
    <xf numFmtId="0" fontId="4" fillId="3" borderId="1" xfId="0" applyFont="1" applyFill="1" applyBorder="1" applyAlignment="1">
      <alignment horizontal="left" vertical="center"/>
    </xf>
    <xf numFmtId="0" fontId="4" fillId="4" borderId="1" xfId="0" applyFont="1" applyFill="1" applyBorder="1" applyAlignment="1">
      <alignment horizontal="left" vertical="center"/>
    </xf>
    <xf numFmtId="0" fontId="4" fillId="5" borderId="1" xfId="0" applyFont="1" applyFill="1" applyBorder="1" applyAlignment="1">
      <alignment horizontal="left" vertical="center"/>
    </xf>
    <xf numFmtId="0" fontId="6"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2" fillId="0" borderId="0" xfId="0" applyFont="1"/>
    <xf numFmtId="0" fontId="0" fillId="0" borderId="0" xfId="0"/>
    <xf numFmtId="0" fontId="1" fillId="0" borderId="0" xfId="0" applyFont="1" applyAlignment="1">
      <alignment horizontal="left"/>
    </xf>
    <xf numFmtId="0" fontId="7" fillId="2" borderId="1" xfId="0" applyFont="1" applyFill="1" applyBorder="1" applyAlignment="1">
      <alignment horizontal="left" vertical="center" indent="1"/>
    </xf>
    <xf numFmtId="0" fontId="0" fillId="0" borderId="3" xfId="0" applyBorder="1"/>
    <xf numFmtId="0" fontId="5" fillId="2" borderId="0" xfId="0" applyFont="1" applyFill="1" applyAlignment="1">
      <alignment horizontal="center" vertical="center"/>
    </xf>
    <xf numFmtId="0" fontId="4" fillId="3" borderId="3" xfId="0" applyFont="1" applyFill="1" applyBorder="1" applyAlignment="1">
      <alignment horizontal="left" vertical="center"/>
    </xf>
    <xf numFmtId="0" fontId="4" fillId="4" borderId="3" xfId="0" applyFont="1" applyFill="1" applyBorder="1" applyAlignment="1">
      <alignment horizontal="left" vertical="center"/>
    </xf>
    <xf numFmtId="0" fontId="4" fillId="3" borderId="4" xfId="0" applyFont="1" applyFill="1" applyBorder="1" applyAlignment="1">
      <alignment horizontal="left" vertical="center"/>
    </xf>
    <xf numFmtId="0" fontId="4" fillId="4" borderId="4" xfId="0" applyFont="1" applyFill="1" applyBorder="1" applyAlignment="1">
      <alignment horizontal="left"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4" fillId="4" borderId="2" xfId="0" applyFont="1" applyFill="1" applyBorder="1" applyAlignment="1">
      <alignment horizontal="left" vertical="center"/>
    </xf>
    <xf numFmtId="0" fontId="4" fillId="4" borderId="8" xfId="0" applyFont="1" applyFill="1" applyBorder="1" applyAlignment="1">
      <alignment horizontal="left" vertical="center"/>
    </xf>
    <xf numFmtId="0" fontId="4" fillId="4" borderId="9" xfId="0" applyFont="1" applyFill="1" applyBorder="1" applyAlignment="1">
      <alignment horizontal="left" vertical="center"/>
    </xf>
    <xf numFmtId="166" fontId="4" fillId="3" borderId="1" xfId="0" applyNumberFormat="1" applyFont="1" applyFill="1" applyBorder="1" applyAlignment="1">
      <alignment horizontal="left" vertical="center"/>
    </xf>
    <xf numFmtId="166" fontId="4" fillId="4" borderId="1" xfId="0" applyNumberFormat="1" applyFont="1" applyFill="1" applyBorder="1" applyAlignment="1">
      <alignment horizontal="left" vertical="center"/>
    </xf>
    <xf numFmtId="166" fontId="4" fillId="4" borderId="8" xfId="0" applyNumberFormat="1" applyFont="1" applyFill="1" applyBorder="1" applyAlignment="1">
      <alignment horizontal="left" vertical="center"/>
    </xf>
    <xf numFmtId="0" fontId="8" fillId="4" borderId="1" xfId="0" applyFont="1" applyFill="1" applyBorder="1" applyAlignment="1">
      <alignment horizontal="left" vertic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7" fontId="0" fillId="0" borderId="0" xfId="0" applyNumberFormat="1"/>
    <xf numFmtId="0" fontId="0" fillId="7" borderId="0" xfId="0" applyFill="1"/>
    <xf numFmtId="0" fontId="0" fillId="8" borderId="0" xfId="0" applyFill="1"/>
    <xf numFmtId="0" fontId="0" fillId="9" borderId="0" xfId="0" applyFill="1"/>
    <xf numFmtId="0" fontId="9" fillId="9" borderId="0" xfId="0" applyFont="1" applyFill="1" applyAlignment="1">
      <alignment horizontal="center"/>
    </xf>
    <xf numFmtId="0" fontId="0" fillId="10" borderId="0" xfId="0" applyFill="1" applyAlignment="1">
      <alignment horizontal="center"/>
    </xf>
    <xf numFmtId="0" fontId="10" fillId="10" borderId="0" xfId="0" applyFont="1" applyFill="1" applyAlignment="1">
      <alignment horizontal="center"/>
    </xf>
  </cellXfs>
  <cellStyles count="1">
    <cellStyle name="Normal" xfId="0" builtinId="0"/>
  </cellStyles>
  <dxfs count="20">
    <dxf>
      <font>
        <color rgb="FF9C0006"/>
      </font>
      <fill>
        <patternFill>
          <bgColor rgb="FFFFC7CE"/>
        </patternFill>
      </fill>
    </dxf>
    <dxf>
      <numFmt numFmtId="167" formatCode="0.0%"/>
    </dxf>
    <dxf>
      <font>
        <b val="0"/>
        <i val="0"/>
        <strike val="0"/>
        <condense val="0"/>
        <extend val="0"/>
        <outline val="0"/>
        <shadow val="0"/>
        <u val="none"/>
        <vertAlign val="baseline"/>
        <sz val="10"/>
        <color rgb="FF1A1A2E"/>
        <name val="Arial"/>
        <scheme val="none"/>
      </font>
      <numFmt numFmtId="166" formatCode="yyyy\-mm\-dd;@"/>
      <fill>
        <patternFill patternType="solid">
          <fgColor indexed="64"/>
          <bgColor rgb="FFF5F5F5"/>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rgb="FF1A1A2E"/>
        <name val="Arial"/>
        <scheme val="none"/>
      </font>
      <fill>
        <patternFill patternType="solid">
          <fgColor indexed="64"/>
          <bgColor rgb="FFF5F5F5"/>
        </patternFill>
      </fill>
      <alignment horizontal="left" vertical="center"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rgb="FF1A1A2E"/>
        <name val="Arial"/>
        <scheme val="none"/>
      </font>
      <fill>
        <patternFill patternType="solid">
          <fgColor indexed="64"/>
          <bgColor rgb="FFF5F5F5"/>
        </patternFill>
      </fill>
      <alignment horizontal="left" vertical="center"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rgb="FF1A1A2E"/>
        <name val="Arial"/>
        <scheme val="none"/>
      </font>
      <numFmt numFmtId="0" formatCode="General"/>
      <fill>
        <patternFill patternType="solid">
          <fgColor indexed="64"/>
          <bgColor rgb="FFF5F5F5"/>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i val="0"/>
        <strike val="0"/>
        <condense val="0"/>
        <extend val="0"/>
        <outline val="0"/>
        <shadow val="0"/>
        <u val="none"/>
        <vertAlign val="baseline"/>
        <sz val="10"/>
        <color rgb="FFFFFFFF"/>
        <name val="Arial"/>
        <scheme val="none"/>
      </font>
      <fill>
        <patternFill patternType="solid">
          <fgColor indexed="64"/>
          <bgColor rgb="FF0D7377"/>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10"/>
        <color rgb="FF1A1A2E"/>
        <name val="Arial"/>
        <scheme val="none"/>
      </font>
      <fill>
        <patternFill patternType="solid">
          <fgColor indexed="64"/>
          <bgColor rgb="FFF5F5F5"/>
        </patternFill>
      </fill>
      <alignment horizontal="left" vertical="center" textRotation="0" wrapText="0" indent="0" justifyLastLine="0" shrinkToFit="0" readingOrder="0"/>
    </dxf>
    <dxf>
      <font>
        <b val="0"/>
        <i val="0"/>
        <strike val="0"/>
        <condense val="0"/>
        <extend val="0"/>
        <outline val="0"/>
        <shadow val="0"/>
        <u val="none"/>
        <vertAlign val="baseline"/>
        <sz val="10"/>
        <color rgb="FF1A1A2E"/>
        <name val="Arial"/>
        <scheme val="none"/>
      </font>
      <fill>
        <patternFill patternType="solid">
          <fgColor indexed="64"/>
          <bgColor rgb="FFF5F5F5"/>
        </patternFill>
      </fill>
      <alignment horizontal="left"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rgb="FF1A1A2E"/>
        <name val="Arial"/>
        <scheme val="none"/>
      </font>
      <fill>
        <patternFill patternType="solid">
          <fgColor indexed="64"/>
          <bgColor rgb="FFF5F5F5"/>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A1A2E"/>
        <name val="Arial"/>
        <scheme val="none"/>
      </font>
      <fill>
        <patternFill patternType="solid">
          <fgColor indexed="64"/>
          <bgColor rgb="FFF5F5F5"/>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A1A2E"/>
        <name val="Arial"/>
        <scheme val="none"/>
      </font>
      <fill>
        <patternFill patternType="solid">
          <fgColor indexed="64"/>
          <bgColor rgb="FFF5F5F5"/>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A1A2E"/>
        <name val="Arial"/>
        <scheme val="none"/>
      </font>
      <fill>
        <patternFill patternType="solid">
          <fgColor indexed="64"/>
          <bgColor rgb="FFF5F5F5"/>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A1A2E"/>
        <name val="Arial"/>
        <scheme val="none"/>
      </font>
      <fill>
        <patternFill patternType="solid">
          <fgColor indexed="64"/>
          <bgColor rgb="FFF5F5F5"/>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A1A2E"/>
        <name val="Arial"/>
        <scheme val="none"/>
      </font>
      <fill>
        <patternFill patternType="solid">
          <fgColor indexed="64"/>
          <bgColor rgb="FFF5F5F5"/>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A1A2E"/>
        <name val="Arial"/>
        <scheme val="none"/>
      </font>
      <fill>
        <patternFill patternType="solid">
          <fgColor indexed="64"/>
          <bgColor rgb="FFF5F5F5"/>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A1A2E"/>
        <name val="Arial"/>
        <scheme val="none"/>
      </font>
      <fill>
        <patternFill patternType="solid">
          <fgColor indexed="64"/>
          <bgColor rgb="FFF5F5F5"/>
        </patternFill>
      </fill>
      <alignment horizontal="left" vertical="center"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bottom style="thin">
          <color rgb="FFCCCCCC"/>
        </bottom>
      </border>
    </dxf>
    <dxf>
      <border outline="0">
        <left style="thin">
          <color rgb="FFCCCCCC"/>
        </left>
        <right style="thin">
          <color rgb="FFCCCCCC"/>
        </right>
        <top style="thin">
          <color rgb="FFCCCCCC"/>
        </top>
        <bottom style="thin">
          <color rgb="FFCCCCCC"/>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[WeCare_Zambia_Health_Dataset_2023.xlsx]Pivot_Table!PivotTable1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Disease</a:t>
            </a:r>
            <a:r>
              <a:rPr lang="en-US" b="1" baseline="0">
                <a:solidFill>
                  <a:schemeClr val="tx1"/>
                </a:solidFill>
              </a:rPr>
              <a:t> Burden by Province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75000"/>
              <a:lumOff val="25000"/>
            </a:schemeClr>
          </a:solidFill>
          <a:ln>
            <a:solidFill>
              <a:schemeClr val="tx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tx1">
                <a:lumMod val="75000"/>
                <a:lumOff val="25000"/>
              </a:schemeClr>
            </a:solidFill>
            <a:ln>
              <a:solidFill>
                <a:schemeClr val="tx2">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Pivot_Table!$A$4:$A$14</c:f>
              <c:strCache>
                <c:ptCount val="10"/>
                <c:pt idx="0">
                  <c:v>North-Western</c:v>
                </c:pt>
                <c:pt idx="1">
                  <c:v>Muchinga</c:v>
                </c:pt>
                <c:pt idx="2">
                  <c:v>Copperbelt</c:v>
                </c:pt>
                <c:pt idx="3">
                  <c:v>Lusaka</c:v>
                </c:pt>
                <c:pt idx="4">
                  <c:v>Central</c:v>
                </c:pt>
                <c:pt idx="5">
                  <c:v>Luapula</c:v>
                </c:pt>
                <c:pt idx="6">
                  <c:v>Northern</c:v>
                </c:pt>
                <c:pt idx="7">
                  <c:v>Western</c:v>
                </c:pt>
                <c:pt idx="8">
                  <c:v>Eastern</c:v>
                </c:pt>
                <c:pt idx="9">
                  <c:v>Southern</c:v>
                </c:pt>
              </c:strCache>
            </c:strRef>
          </c:cat>
          <c:val>
            <c:numRef>
              <c:f>Pivot_Table!$B$4:$B$14</c:f>
              <c:numCache>
                <c:formatCode>General</c:formatCode>
                <c:ptCount val="10"/>
                <c:pt idx="0">
                  <c:v>13</c:v>
                </c:pt>
                <c:pt idx="1">
                  <c:v>12</c:v>
                </c:pt>
                <c:pt idx="2">
                  <c:v>11</c:v>
                </c:pt>
                <c:pt idx="3">
                  <c:v>11</c:v>
                </c:pt>
                <c:pt idx="4">
                  <c:v>10</c:v>
                </c:pt>
                <c:pt idx="5">
                  <c:v>10</c:v>
                </c:pt>
                <c:pt idx="6">
                  <c:v>10</c:v>
                </c:pt>
                <c:pt idx="7">
                  <c:v>9</c:v>
                </c:pt>
                <c:pt idx="8">
                  <c:v>8</c:v>
                </c:pt>
                <c:pt idx="9">
                  <c:v>5</c:v>
                </c:pt>
              </c:numCache>
            </c:numRef>
          </c:val>
          <c:extLst>
            <c:ext xmlns:c16="http://schemas.microsoft.com/office/drawing/2014/chart" uri="{C3380CC4-5D6E-409C-BE32-E72D297353CC}">
              <c16:uniqueId val="{00000000-6CB0-48F6-8BE6-104CF8044F1C}"/>
            </c:ext>
          </c:extLst>
        </c:ser>
        <c:dLbls>
          <c:dLblPos val="outEnd"/>
          <c:showLegendKey val="0"/>
          <c:showVal val="1"/>
          <c:showCatName val="0"/>
          <c:showSerName val="0"/>
          <c:showPercent val="0"/>
          <c:showBubbleSize val="0"/>
        </c:dLbls>
        <c:gapWidth val="219"/>
        <c:overlap val="-27"/>
        <c:axId val="1937257119"/>
        <c:axId val="1937253759"/>
      </c:barChart>
      <c:catAx>
        <c:axId val="193725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37253759"/>
        <c:crosses val="autoZero"/>
        <c:auto val="1"/>
        <c:lblAlgn val="ctr"/>
        <c:lblOffset val="100"/>
        <c:noMultiLvlLbl val="0"/>
      </c:catAx>
      <c:valAx>
        <c:axId val="1937253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257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[WeCare_Zambia_Health_Dataset_2023.xlsx]Pivot_Table!PivotTable2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Patient</a:t>
            </a:r>
            <a:r>
              <a:rPr lang="en-US" b="1" baseline="0">
                <a:solidFill>
                  <a:schemeClr val="tx1"/>
                </a:solidFill>
              </a:rPr>
              <a:t> Visits per Quarter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Pivot_Table!$A$22:$A$26</c:f>
              <c:strCache>
                <c:ptCount val="4"/>
                <c:pt idx="0">
                  <c:v>Q1</c:v>
                </c:pt>
                <c:pt idx="1">
                  <c:v>Q2</c:v>
                </c:pt>
                <c:pt idx="2">
                  <c:v>Q3</c:v>
                </c:pt>
                <c:pt idx="3">
                  <c:v>Q4</c:v>
                </c:pt>
              </c:strCache>
            </c:strRef>
          </c:cat>
          <c:val>
            <c:numRef>
              <c:f>Pivot_Table!$B$22:$B$26</c:f>
              <c:numCache>
                <c:formatCode>General</c:formatCode>
                <c:ptCount val="4"/>
                <c:pt idx="0">
                  <c:v>23</c:v>
                </c:pt>
                <c:pt idx="1">
                  <c:v>26</c:v>
                </c:pt>
                <c:pt idx="2">
                  <c:v>29</c:v>
                </c:pt>
                <c:pt idx="3">
                  <c:v>21</c:v>
                </c:pt>
              </c:numCache>
            </c:numRef>
          </c:val>
          <c:smooth val="0"/>
          <c:extLst>
            <c:ext xmlns:c16="http://schemas.microsoft.com/office/drawing/2014/chart" uri="{C3380CC4-5D6E-409C-BE32-E72D297353CC}">
              <c16:uniqueId val="{00000000-1221-4893-B1B8-0CFF2BBB7BC5}"/>
            </c:ext>
          </c:extLst>
        </c:ser>
        <c:dLbls>
          <c:dLblPos val="t"/>
          <c:showLegendKey val="0"/>
          <c:showVal val="1"/>
          <c:showCatName val="0"/>
          <c:showSerName val="0"/>
          <c:showPercent val="0"/>
          <c:showBubbleSize val="0"/>
        </c:dLbls>
        <c:smooth val="0"/>
        <c:axId val="124879967"/>
        <c:axId val="124879007"/>
      </c:lineChart>
      <c:catAx>
        <c:axId val="12487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4879007"/>
        <c:crosses val="autoZero"/>
        <c:auto val="1"/>
        <c:lblAlgn val="ctr"/>
        <c:lblOffset val="100"/>
        <c:noMultiLvlLbl val="0"/>
      </c:catAx>
      <c:valAx>
        <c:axId val="124879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79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[WeCare_Zambia_Health_Dataset_2023.xlsx]Pivot_Table!PivotTable3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Outcome</a:t>
            </a:r>
            <a:r>
              <a:rPr lang="en-US" b="1" baseline="0">
                <a:solidFill>
                  <a:schemeClr val="tx1"/>
                </a:solidFill>
              </a:rPr>
              <a:t> Analysis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Pivot_Table!$B$37</c:f>
              <c:strCache>
                <c:ptCount val="1"/>
                <c:pt idx="0">
                  <c:v>Total</c:v>
                </c:pt>
              </c:strCache>
            </c:strRef>
          </c:tx>
          <c:spPr>
            <a:solidFill>
              <a:schemeClr val="tx1">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Pivot_Table!$A$38:$A$42</c:f>
              <c:strCache>
                <c:ptCount val="4"/>
                <c:pt idx="0">
                  <c:v>Deceased</c:v>
                </c:pt>
                <c:pt idx="1">
                  <c:v>Recovered</c:v>
                </c:pt>
                <c:pt idx="2">
                  <c:v>Referred</c:v>
                </c:pt>
                <c:pt idx="3">
                  <c:v>Under Treatment</c:v>
                </c:pt>
              </c:strCache>
            </c:strRef>
          </c:cat>
          <c:val>
            <c:numRef>
              <c:f>Pivot_Table!$B$38:$B$42</c:f>
              <c:numCache>
                <c:formatCode>0.00%</c:formatCode>
                <c:ptCount val="4"/>
                <c:pt idx="0">
                  <c:v>7.0707070707070704E-2</c:v>
                </c:pt>
                <c:pt idx="1">
                  <c:v>0.5757575757575758</c:v>
                </c:pt>
                <c:pt idx="2">
                  <c:v>0.12121212121212122</c:v>
                </c:pt>
                <c:pt idx="3">
                  <c:v>0.23232323232323232</c:v>
                </c:pt>
              </c:numCache>
            </c:numRef>
          </c:val>
          <c:extLst>
            <c:ext xmlns:c16="http://schemas.microsoft.com/office/drawing/2014/chart" uri="{C3380CC4-5D6E-409C-BE32-E72D297353CC}">
              <c16:uniqueId val="{00000000-1E5F-4FEC-B64A-10B13FCF9D63}"/>
            </c:ext>
          </c:extLst>
        </c:ser>
        <c:dLbls>
          <c:showLegendKey val="0"/>
          <c:showVal val="0"/>
          <c:showCatName val="0"/>
          <c:showSerName val="0"/>
          <c:showPercent val="0"/>
          <c:showBubbleSize val="0"/>
        </c:dLbls>
        <c:gapWidth val="182"/>
        <c:axId val="66150191"/>
        <c:axId val="66151631"/>
      </c:barChart>
      <c:catAx>
        <c:axId val="6615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51631"/>
        <c:crosses val="autoZero"/>
        <c:auto val="1"/>
        <c:lblAlgn val="ctr"/>
        <c:lblOffset val="100"/>
        <c:noMultiLvlLbl val="0"/>
      </c:catAx>
      <c:valAx>
        <c:axId val="66151631"/>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150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[WeCare_Zambia_Health_Dataset_2023.xlsx]Pivot_Table!PivotTable7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Proportion of Follow-up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19050">
            <a:solidFill>
              <a:schemeClr val="lt1"/>
            </a:solidFill>
          </a:ln>
          <a:effectLst/>
        </c:spPr>
        <c:dLbl>
          <c:idx val="0"/>
          <c:layout>
            <c:manualLayout>
              <c:x val="-3.2852799650043743E-2"/>
              <c:y val="-0.181880285797608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9904199475065621E-2"/>
                  <c:h val="0.11673082531350248"/>
                </c:manualLayout>
              </c15:layout>
            </c:ext>
          </c:extLst>
        </c:dLbl>
      </c:pivotFmt>
      <c:pivotFmt>
        <c:idx val="2"/>
        <c:spPr>
          <a:solidFill>
            <a:srgbClr val="00B050"/>
          </a:solidFill>
          <a:ln w="19050">
            <a:solidFill>
              <a:schemeClr val="lt1"/>
            </a:solidFill>
          </a:ln>
          <a:effectLst/>
        </c:spPr>
        <c:dLbl>
          <c:idx val="0"/>
          <c:layout>
            <c:manualLayout>
              <c:x val="0.15304177602799651"/>
              <c:y val="1.6411854768153974E-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5459755030621171E-2"/>
                  <c:h val="0.13987897346165062"/>
                </c:manualLayout>
              </c15:layout>
            </c:ext>
          </c:extLst>
        </c:dLbl>
      </c:pivotFmt>
      <c:pivotFmt>
        <c:idx val="3"/>
        <c:spPr>
          <a:solidFill>
            <a:srgbClr val="00B0F0"/>
          </a:solidFill>
          <a:ln w="19050">
            <a:solidFill>
              <a:schemeClr val="lt1"/>
            </a:solidFill>
          </a:ln>
          <a:effectLst/>
        </c:spPr>
        <c:dLbl>
          <c:idx val="0"/>
          <c:layout>
            <c:manualLayout>
              <c:x val="-0.10649256342957131"/>
              <c:y val="0.10695100612423446"/>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7126421697287839E-2"/>
                  <c:h val="0.15839749198016911"/>
                </c:manualLayout>
              </c15:layout>
            </c:ext>
          </c:extLst>
        </c:dLbl>
      </c:pivotFmt>
    </c:pivotFmts>
    <c:plotArea>
      <c:layout/>
      <c:pieChart>
        <c:varyColors val="1"/>
        <c:ser>
          <c:idx val="0"/>
          <c:order val="0"/>
          <c:tx>
            <c:strRef>
              <c:f>Pivot_Table!$B$67</c:f>
              <c:strCache>
                <c:ptCount val="1"/>
                <c:pt idx="0">
                  <c:v>Total</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4-75AC-49AE-90F6-22D0BEE6C38D}"/>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2-75AC-49AE-90F6-22D0BEE6C38D}"/>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3-75AC-49AE-90F6-22D0BEE6C38D}"/>
              </c:ext>
            </c:extLst>
          </c:dPt>
          <c:dLbls>
            <c:dLbl>
              <c:idx val="0"/>
              <c:layout>
                <c:manualLayout>
                  <c:x val="-0.10649256342957131"/>
                  <c:y val="0.10695100612423446"/>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7126421697287839E-2"/>
                      <c:h val="0.15839749198016911"/>
                    </c:manualLayout>
                  </c15:layout>
                </c:ext>
                <c:ext xmlns:c16="http://schemas.microsoft.com/office/drawing/2014/chart" uri="{C3380CC4-5D6E-409C-BE32-E72D297353CC}">
                  <c16:uniqueId val="{00000004-75AC-49AE-90F6-22D0BEE6C38D}"/>
                </c:ext>
              </c:extLst>
            </c:dLbl>
            <c:dLbl>
              <c:idx val="1"/>
              <c:layout>
                <c:manualLayout>
                  <c:x val="-3.2852799650043743E-2"/>
                  <c:y val="-0.1818802857976087"/>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7.9904199475065621E-2"/>
                      <c:h val="0.11673082531350248"/>
                    </c:manualLayout>
                  </c15:layout>
                </c:ext>
                <c:ext xmlns:c16="http://schemas.microsoft.com/office/drawing/2014/chart" uri="{C3380CC4-5D6E-409C-BE32-E72D297353CC}">
                  <c16:uniqueId val="{00000002-75AC-49AE-90F6-22D0BEE6C38D}"/>
                </c:ext>
              </c:extLst>
            </c:dLbl>
            <c:dLbl>
              <c:idx val="2"/>
              <c:layout>
                <c:manualLayout>
                  <c:x val="0.15304177602799651"/>
                  <c:y val="1.6411854768153974E-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5459755030621171E-2"/>
                      <c:h val="0.13987897346165062"/>
                    </c:manualLayout>
                  </c15:layout>
                </c:ext>
                <c:ext xmlns:c16="http://schemas.microsoft.com/office/drawing/2014/chart" uri="{C3380CC4-5D6E-409C-BE32-E72D297353CC}">
                  <c16:uniqueId val="{00000003-75AC-49AE-90F6-22D0BEE6C38D}"/>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Pivot_Table!$A$68:$A$70</c:f>
              <c:strCache>
                <c:ptCount val="3"/>
                <c:pt idx="0">
                  <c:v>N/A</c:v>
                </c:pt>
                <c:pt idx="1">
                  <c:v>No</c:v>
                </c:pt>
                <c:pt idx="2">
                  <c:v>Yes</c:v>
                </c:pt>
              </c:strCache>
            </c:strRef>
          </c:cat>
          <c:val>
            <c:numRef>
              <c:f>Pivot_Table!$B$68:$B$70</c:f>
              <c:numCache>
                <c:formatCode>0.0%</c:formatCode>
                <c:ptCount val="3"/>
                <c:pt idx="0">
                  <c:v>0.35353535353535354</c:v>
                </c:pt>
                <c:pt idx="1">
                  <c:v>0.22222222222222221</c:v>
                </c:pt>
                <c:pt idx="2">
                  <c:v>0.42424242424242425</c:v>
                </c:pt>
              </c:numCache>
            </c:numRef>
          </c:val>
          <c:extLst>
            <c:ext xmlns:c16="http://schemas.microsoft.com/office/drawing/2014/chart" uri="{C3380CC4-5D6E-409C-BE32-E72D297353CC}">
              <c16:uniqueId val="{00000000-75AC-49AE-90F6-22D0BEE6C38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[WeCare_Zambia_Health_Dataset_2023.xlsx]Pivot_Table_2!PivotTable8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Disease</a:t>
            </a:r>
            <a:r>
              <a:rPr lang="en-US" b="1" baseline="0">
                <a:solidFill>
                  <a:schemeClr val="tx1"/>
                </a:solidFill>
              </a:rPr>
              <a:t> Distribution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Pivot_Table_2!$A$4:$A$11</c:f>
              <c:strCache>
                <c:ptCount val="7"/>
                <c:pt idx="0">
                  <c:v>Cholera</c:v>
                </c:pt>
                <c:pt idx="1">
                  <c:v>HIV/AIDS</c:v>
                </c:pt>
                <c:pt idx="2">
                  <c:v>Malaria</c:v>
                </c:pt>
                <c:pt idx="3">
                  <c:v>Malnutrition</c:v>
                </c:pt>
                <c:pt idx="4">
                  <c:v>Pneumonia</c:v>
                </c:pt>
                <c:pt idx="5">
                  <c:v>TB</c:v>
                </c:pt>
                <c:pt idx="6">
                  <c:v>Typhoid</c:v>
                </c:pt>
              </c:strCache>
            </c:strRef>
          </c:cat>
          <c:val>
            <c:numRef>
              <c:f>Pivot_Table_2!$B$4:$B$11</c:f>
              <c:numCache>
                <c:formatCode>General</c:formatCode>
                <c:ptCount val="7"/>
                <c:pt idx="0">
                  <c:v>7</c:v>
                </c:pt>
                <c:pt idx="1">
                  <c:v>14</c:v>
                </c:pt>
                <c:pt idx="2">
                  <c:v>30</c:v>
                </c:pt>
                <c:pt idx="3">
                  <c:v>9</c:v>
                </c:pt>
                <c:pt idx="4">
                  <c:v>10</c:v>
                </c:pt>
                <c:pt idx="5">
                  <c:v>24</c:v>
                </c:pt>
                <c:pt idx="6">
                  <c:v>5</c:v>
                </c:pt>
              </c:numCache>
            </c:numRef>
          </c:val>
          <c:extLst>
            <c:ext xmlns:c16="http://schemas.microsoft.com/office/drawing/2014/chart" uri="{C3380CC4-5D6E-409C-BE32-E72D297353CC}">
              <c16:uniqueId val="{00000000-6344-470D-BD7D-CB2E6C50C98D}"/>
            </c:ext>
          </c:extLst>
        </c:ser>
        <c:dLbls>
          <c:dLblPos val="outEnd"/>
          <c:showLegendKey val="0"/>
          <c:showVal val="1"/>
          <c:showCatName val="0"/>
          <c:showSerName val="0"/>
          <c:showPercent val="0"/>
          <c:showBubbleSize val="0"/>
        </c:dLbls>
        <c:gapWidth val="219"/>
        <c:overlap val="-27"/>
        <c:axId val="145003583"/>
        <c:axId val="145004063"/>
      </c:barChart>
      <c:catAx>
        <c:axId val="14500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5004063"/>
        <c:crosses val="autoZero"/>
        <c:auto val="1"/>
        <c:lblAlgn val="ctr"/>
        <c:lblOffset val="100"/>
        <c:noMultiLvlLbl val="0"/>
      </c:catAx>
      <c:valAx>
        <c:axId val="145004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03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[WeCare_Zambia_Health_Dataset_2023.xlsx]Pivot_Table!PivotTable7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Proportion of Follow-up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19050">
            <a:solidFill>
              <a:schemeClr val="lt1"/>
            </a:solidFill>
          </a:ln>
          <a:effectLst/>
        </c:spPr>
        <c:dLbl>
          <c:idx val="0"/>
          <c:layout>
            <c:manualLayout>
              <c:x val="-3.2852799650043743E-2"/>
              <c:y val="-0.181880285797608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9904199475065621E-2"/>
                  <c:h val="0.11673082531350248"/>
                </c:manualLayout>
              </c15:layout>
            </c:ext>
          </c:extLst>
        </c:dLbl>
      </c:pivotFmt>
      <c:pivotFmt>
        <c:idx val="2"/>
        <c:spPr>
          <a:solidFill>
            <a:srgbClr val="00B050"/>
          </a:solidFill>
          <a:ln w="19050">
            <a:solidFill>
              <a:schemeClr val="lt1"/>
            </a:solidFill>
          </a:ln>
          <a:effectLst/>
        </c:spPr>
        <c:dLbl>
          <c:idx val="0"/>
          <c:layout>
            <c:manualLayout>
              <c:x val="0.15304177602799651"/>
              <c:y val="1.6411854768153974E-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5459755030621171E-2"/>
                  <c:h val="0.13987897346165062"/>
                </c:manualLayout>
              </c15:layout>
            </c:ext>
          </c:extLst>
        </c:dLbl>
      </c:pivotFmt>
      <c:pivotFmt>
        <c:idx val="3"/>
        <c:spPr>
          <a:solidFill>
            <a:srgbClr val="00B0F0"/>
          </a:solidFill>
          <a:ln w="19050">
            <a:solidFill>
              <a:schemeClr val="lt1"/>
            </a:solidFill>
          </a:ln>
          <a:effectLst/>
        </c:spPr>
        <c:dLbl>
          <c:idx val="0"/>
          <c:layout>
            <c:manualLayout>
              <c:x val="-0.10649256342957131"/>
              <c:y val="0.10695100612423446"/>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7126421697287839E-2"/>
                  <c:h val="0.15839749198016911"/>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B0F0"/>
          </a:solidFill>
          <a:ln w="19050">
            <a:solidFill>
              <a:schemeClr val="lt1"/>
            </a:solidFill>
          </a:ln>
          <a:effectLst/>
        </c:spPr>
        <c:dLbl>
          <c:idx val="0"/>
          <c:layout>
            <c:manualLayout>
              <c:x val="-0.10649256342957131"/>
              <c:y val="0.10695100612423446"/>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7126421697287839E-2"/>
                  <c:h val="0.15839749198016911"/>
                </c:manualLayout>
              </c15:layout>
            </c:ext>
          </c:extLst>
        </c:dLbl>
      </c:pivotFmt>
      <c:pivotFmt>
        <c:idx val="6"/>
        <c:spPr>
          <a:solidFill>
            <a:srgbClr val="FF0000"/>
          </a:solidFill>
          <a:ln w="19050">
            <a:solidFill>
              <a:schemeClr val="lt1"/>
            </a:solidFill>
          </a:ln>
          <a:effectLst/>
        </c:spPr>
        <c:dLbl>
          <c:idx val="0"/>
          <c:layout>
            <c:manualLayout>
              <c:x val="-3.2852799650043743E-2"/>
              <c:y val="-0.181880285797608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9904199475065621E-2"/>
                  <c:h val="0.11673082531350248"/>
                </c:manualLayout>
              </c15:layout>
            </c:ext>
          </c:extLst>
        </c:dLbl>
      </c:pivotFmt>
      <c:pivotFmt>
        <c:idx val="7"/>
        <c:spPr>
          <a:solidFill>
            <a:srgbClr val="00B050"/>
          </a:solidFill>
          <a:ln w="19050">
            <a:solidFill>
              <a:schemeClr val="lt1"/>
            </a:solidFill>
          </a:ln>
          <a:effectLst/>
        </c:spPr>
        <c:dLbl>
          <c:idx val="0"/>
          <c:layout>
            <c:manualLayout>
              <c:x val="0.15304177602799651"/>
              <c:y val="1.6411854768153974E-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5459755030621171E-2"/>
                  <c:h val="0.13987897346165062"/>
                </c:manualLayout>
              </c15:layout>
            </c:ext>
          </c:extLst>
        </c:dLbl>
      </c:pivotFmt>
      <c:pivotFmt>
        <c:idx val="8"/>
        <c:spPr>
          <a:solidFill>
            <a:schemeClr val="accent1"/>
          </a:solidFill>
          <a:ln w="19050">
            <a:solidFill>
              <a:schemeClr val="tx1">
                <a:lumMod val="95000"/>
                <a:lumOff val="5000"/>
              </a:schemeClr>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B0F0"/>
          </a:solidFill>
          <a:ln w="19050">
            <a:solidFill>
              <a:schemeClr val="tx1">
                <a:lumMod val="95000"/>
                <a:lumOff val="5000"/>
              </a:schemeClr>
            </a:solidFill>
          </a:ln>
          <a:effectLst/>
        </c:spPr>
        <c:dLbl>
          <c:idx val="0"/>
          <c:layout>
            <c:manualLayout>
              <c:x val="-0.10649256342957131"/>
              <c:y val="0.10695100612423446"/>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7126421697287839E-2"/>
                  <c:h val="0.15839749198016911"/>
                </c:manualLayout>
              </c15:layout>
            </c:ext>
          </c:extLst>
        </c:dLbl>
      </c:pivotFmt>
      <c:pivotFmt>
        <c:idx val="10"/>
        <c:spPr>
          <a:solidFill>
            <a:srgbClr val="FF0000"/>
          </a:solidFill>
          <a:ln w="19050">
            <a:solidFill>
              <a:schemeClr val="tx1">
                <a:lumMod val="95000"/>
                <a:lumOff val="5000"/>
              </a:schemeClr>
            </a:solidFill>
          </a:ln>
          <a:effectLst/>
        </c:spPr>
        <c:dLbl>
          <c:idx val="0"/>
          <c:layout>
            <c:manualLayout>
              <c:x val="-3.2852799650043743E-2"/>
              <c:y val="-0.181880285797608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9904199475065621E-2"/>
                  <c:h val="0.11673082531350248"/>
                </c:manualLayout>
              </c15:layout>
            </c:ext>
          </c:extLst>
        </c:dLbl>
      </c:pivotFmt>
      <c:pivotFmt>
        <c:idx val="11"/>
        <c:spPr>
          <a:solidFill>
            <a:srgbClr val="00B050"/>
          </a:solidFill>
          <a:ln w="19050">
            <a:solidFill>
              <a:schemeClr val="tx1">
                <a:lumMod val="95000"/>
                <a:lumOff val="5000"/>
              </a:schemeClr>
            </a:solidFill>
          </a:ln>
          <a:effectLst/>
        </c:spPr>
        <c:dLbl>
          <c:idx val="0"/>
          <c:layout>
            <c:manualLayout>
              <c:x val="0.15304177602799651"/>
              <c:y val="1.6411854768153974E-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5459755030621171E-2"/>
                  <c:h val="0.13987897346165062"/>
                </c:manualLayout>
              </c15:layout>
            </c:ext>
          </c:extLst>
        </c:dLbl>
      </c:pivotFmt>
    </c:pivotFmts>
    <c:plotArea>
      <c:layout/>
      <c:pieChart>
        <c:varyColors val="1"/>
        <c:ser>
          <c:idx val="0"/>
          <c:order val="0"/>
          <c:tx>
            <c:strRef>
              <c:f>Pivot_Table!$B$67</c:f>
              <c:strCache>
                <c:ptCount val="1"/>
                <c:pt idx="0">
                  <c:v>Total</c:v>
                </c:pt>
              </c:strCache>
            </c:strRef>
          </c:tx>
          <c:spPr>
            <a:ln>
              <a:solidFill>
                <a:schemeClr val="tx1">
                  <a:lumMod val="95000"/>
                  <a:lumOff val="5000"/>
                </a:schemeClr>
              </a:solidFill>
            </a:ln>
          </c:spPr>
          <c:dPt>
            <c:idx val="0"/>
            <c:bubble3D val="0"/>
            <c:spPr>
              <a:solidFill>
                <a:srgbClr val="00B0F0"/>
              </a:solidFill>
              <a:ln w="19050">
                <a:solidFill>
                  <a:schemeClr val="tx1">
                    <a:lumMod val="95000"/>
                    <a:lumOff val="5000"/>
                  </a:schemeClr>
                </a:solidFill>
              </a:ln>
              <a:effectLst/>
            </c:spPr>
            <c:extLst>
              <c:ext xmlns:c16="http://schemas.microsoft.com/office/drawing/2014/chart" uri="{C3380CC4-5D6E-409C-BE32-E72D297353CC}">
                <c16:uniqueId val="{00000001-FA5D-44CA-AF5F-8A56F213413C}"/>
              </c:ext>
            </c:extLst>
          </c:dPt>
          <c:dPt>
            <c:idx val="1"/>
            <c:bubble3D val="0"/>
            <c:spPr>
              <a:solidFill>
                <a:srgbClr val="FF0000"/>
              </a:solidFill>
              <a:ln w="19050">
                <a:solidFill>
                  <a:schemeClr val="tx1">
                    <a:lumMod val="95000"/>
                    <a:lumOff val="5000"/>
                  </a:schemeClr>
                </a:solidFill>
              </a:ln>
              <a:effectLst/>
            </c:spPr>
            <c:extLst>
              <c:ext xmlns:c16="http://schemas.microsoft.com/office/drawing/2014/chart" uri="{C3380CC4-5D6E-409C-BE32-E72D297353CC}">
                <c16:uniqueId val="{00000003-FA5D-44CA-AF5F-8A56F213413C}"/>
              </c:ext>
            </c:extLst>
          </c:dPt>
          <c:dPt>
            <c:idx val="2"/>
            <c:bubble3D val="0"/>
            <c:spPr>
              <a:solidFill>
                <a:srgbClr val="00B050"/>
              </a:solidFill>
              <a:ln w="19050">
                <a:solidFill>
                  <a:schemeClr val="tx1">
                    <a:lumMod val="95000"/>
                    <a:lumOff val="5000"/>
                  </a:schemeClr>
                </a:solidFill>
              </a:ln>
              <a:effectLst/>
            </c:spPr>
            <c:extLst>
              <c:ext xmlns:c16="http://schemas.microsoft.com/office/drawing/2014/chart" uri="{C3380CC4-5D6E-409C-BE32-E72D297353CC}">
                <c16:uniqueId val="{00000005-FA5D-44CA-AF5F-8A56F213413C}"/>
              </c:ext>
            </c:extLst>
          </c:dPt>
          <c:dLbls>
            <c:dLbl>
              <c:idx val="0"/>
              <c:layout>
                <c:manualLayout>
                  <c:x val="-0.10649256342957131"/>
                  <c:y val="0.10695100612423446"/>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7126421697287839E-2"/>
                      <c:h val="0.15839749198016911"/>
                    </c:manualLayout>
                  </c15:layout>
                </c:ext>
                <c:ext xmlns:c16="http://schemas.microsoft.com/office/drawing/2014/chart" uri="{C3380CC4-5D6E-409C-BE32-E72D297353CC}">
                  <c16:uniqueId val="{00000001-FA5D-44CA-AF5F-8A56F213413C}"/>
                </c:ext>
              </c:extLst>
            </c:dLbl>
            <c:dLbl>
              <c:idx val="1"/>
              <c:layout>
                <c:manualLayout>
                  <c:x val="-3.2852799650043743E-2"/>
                  <c:y val="-0.1818802857976087"/>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7.9904199475065621E-2"/>
                      <c:h val="0.11673082531350248"/>
                    </c:manualLayout>
                  </c15:layout>
                </c:ext>
                <c:ext xmlns:c16="http://schemas.microsoft.com/office/drawing/2014/chart" uri="{C3380CC4-5D6E-409C-BE32-E72D297353CC}">
                  <c16:uniqueId val="{00000003-FA5D-44CA-AF5F-8A56F213413C}"/>
                </c:ext>
              </c:extLst>
            </c:dLbl>
            <c:dLbl>
              <c:idx val="2"/>
              <c:layout>
                <c:manualLayout>
                  <c:x val="0.15304177602799651"/>
                  <c:y val="1.6411854768153974E-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5459755030621171E-2"/>
                      <c:h val="0.13987897346165062"/>
                    </c:manualLayout>
                  </c15:layout>
                </c:ext>
                <c:ext xmlns:c16="http://schemas.microsoft.com/office/drawing/2014/chart" uri="{C3380CC4-5D6E-409C-BE32-E72D297353CC}">
                  <c16:uniqueId val="{00000005-FA5D-44CA-AF5F-8A56F213413C}"/>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Pivot_Table!$A$68:$A$70</c:f>
              <c:strCache>
                <c:ptCount val="3"/>
                <c:pt idx="0">
                  <c:v>N/A</c:v>
                </c:pt>
                <c:pt idx="1">
                  <c:v>No</c:v>
                </c:pt>
                <c:pt idx="2">
                  <c:v>Yes</c:v>
                </c:pt>
              </c:strCache>
            </c:strRef>
          </c:cat>
          <c:val>
            <c:numRef>
              <c:f>Pivot_Table!$B$68:$B$70</c:f>
              <c:numCache>
                <c:formatCode>0.0%</c:formatCode>
                <c:ptCount val="3"/>
                <c:pt idx="0">
                  <c:v>0.35353535353535354</c:v>
                </c:pt>
                <c:pt idx="1">
                  <c:v>0.22222222222222221</c:v>
                </c:pt>
                <c:pt idx="2">
                  <c:v>0.42424242424242425</c:v>
                </c:pt>
              </c:numCache>
            </c:numRef>
          </c:val>
          <c:extLst>
            <c:ext xmlns:c16="http://schemas.microsoft.com/office/drawing/2014/chart" uri="{C3380CC4-5D6E-409C-BE32-E72D297353CC}">
              <c16:uniqueId val="{00000006-FA5D-44CA-AF5F-8A56F213413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[WeCare_Zambia_Health_Dataset_2023.xlsx]Pivot_Table!PivotTable1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Disease</a:t>
            </a:r>
            <a:r>
              <a:rPr lang="en-US" b="1" baseline="0">
                <a:solidFill>
                  <a:schemeClr val="tx1"/>
                </a:solidFill>
              </a:rPr>
              <a:t> Burden by Province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75000"/>
              <a:lumOff val="25000"/>
            </a:schemeClr>
          </a:solidFill>
          <a:ln>
            <a:solidFill>
              <a:schemeClr val="tx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solidFill>
              <a:schemeClr val="tx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tx1">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Pivot_Table!$A$4:$A$14</c:f>
              <c:strCache>
                <c:ptCount val="10"/>
                <c:pt idx="0">
                  <c:v>North-Western</c:v>
                </c:pt>
                <c:pt idx="1">
                  <c:v>Muchinga</c:v>
                </c:pt>
                <c:pt idx="2">
                  <c:v>Copperbelt</c:v>
                </c:pt>
                <c:pt idx="3">
                  <c:v>Lusaka</c:v>
                </c:pt>
                <c:pt idx="4">
                  <c:v>Central</c:v>
                </c:pt>
                <c:pt idx="5">
                  <c:v>Luapula</c:v>
                </c:pt>
                <c:pt idx="6">
                  <c:v>Northern</c:v>
                </c:pt>
                <c:pt idx="7">
                  <c:v>Western</c:v>
                </c:pt>
                <c:pt idx="8">
                  <c:v>Eastern</c:v>
                </c:pt>
                <c:pt idx="9">
                  <c:v>Southern</c:v>
                </c:pt>
              </c:strCache>
            </c:strRef>
          </c:cat>
          <c:val>
            <c:numRef>
              <c:f>Pivot_Table!$B$4:$B$14</c:f>
              <c:numCache>
                <c:formatCode>General</c:formatCode>
                <c:ptCount val="10"/>
                <c:pt idx="0">
                  <c:v>13</c:v>
                </c:pt>
                <c:pt idx="1">
                  <c:v>12</c:v>
                </c:pt>
                <c:pt idx="2">
                  <c:v>11</c:v>
                </c:pt>
                <c:pt idx="3">
                  <c:v>11</c:v>
                </c:pt>
                <c:pt idx="4">
                  <c:v>10</c:v>
                </c:pt>
                <c:pt idx="5">
                  <c:v>10</c:v>
                </c:pt>
                <c:pt idx="6">
                  <c:v>10</c:v>
                </c:pt>
                <c:pt idx="7">
                  <c:v>9</c:v>
                </c:pt>
                <c:pt idx="8">
                  <c:v>8</c:v>
                </c:pt>
                <c:pt idx="9">
                  <c:v>5</c:v>
                </c:pt>
              </c:numCache>
            </c:numRef>
          </c:val>
          <c:extLst>
            <c:ext xmlns:c16="http://schemas.microsoft.com/office/drawing/2014/chart" uri="{C3380CC4-5D6E-409C-BE32-E72D297353CC}">
              <c16:uniqueId val="{00000000-7AE7-4642-867E-49101B66C400}"/>
            </c:ext>
          </c:extLst>
        </c:ser>
        <c:dLbls>
          <c:dLblPos val="outEnd"/>
          <c:showLegendKey val="0"/>
          <c:showVal val="1"/>
          <c:showCatName val="0"/>
          <c:showSerName val="0"/>
          <c:showPercent val="0"/>
          <c:showBubbleSize val="0"/>
        </c:dLbls>
        <c:gapWidth val="219"/>
        <c:overlap val="-27"/>
        <c:axId val="1937257119"/>
        <c:axId val="1937253759"/>
      </c:barChart>
      <c:catAx>
        <c:axId val="1937257119"/>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37253759"/>
        <c:crosses val="autoZero"/>
        <c:auto val="1"/>
        <c:lblAlgn val="ctr"/>
        <c:lblOffset val="100"/>
        <c:noMultiLvlLbl val="0"/>
      </c:catAx>
      <c:valAx>
        <c:axId val="1937253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37257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[WeCare_Zambia_Health_Dataset_2023.xlsx]Pivot_Table!PivotTable2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Patient</a:t>
            </a:r>
            <a:r>
              <a:rPr lang="en-US" b="1" baseline="0">
                <a:solidFill>
                  <a:schemeClr val="tx1"/>
                </a:solidFill>
              </a:rPr>
              <a:t> Visits per Quarter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Pivot_Table!$A$22:$A$26</c:f>
              <c:strCache>
                <c:ptCount val="4"/>
                <c:pt idx="0">
                  <c:v>Q1</c:v>
                </c:pt>
                <c:pt idx="1">
                  <c:v>Q2</c:v>
                </c:pt>
                <c:pt idx="2">
                  <c:v>Q3</c:v>
                </c:pt>
                <c:pt idx="3">
                  <c:v>Q4</c:v>
                </c:pt>
              </c:strCache>
            </c:strRef>
          </c:cat>
          <c:val>
            <c:numRef>
              <c:f>Pivot_Table!$B$22:$B$26</c:f>
              <c:numCache>
                <c:formatCode>General</c:formatCode>
                <c:ptCount val="4"/>
                <c:pt idx="0">
                  <c:v>23</c:v>
                </c:pt>
                <c:pt idx="1">
                  <c:v>26</c:v>
                </c:pt>
                <c:pt idx="2">
                  <c:v>29</c:v>
                </c:pt>
                <c:pt idx="3">
                  <c:v>21</c:v>
                </c:pt>
              </c:numCache>
            </c:numRef>
          </c:val>
          <c:smooth val="0"/>
          <c:extLst>
            <c:ext xmlns:c16="http://schemas.microsoft.com/office/drawing/2014/chart" uri="{C3380CC4-5D6E-409C-BE32-E72D297353CC}">
              <c16:uniqueId val="{00000000-24B5-4090-9F72-1B844F27D5BB}"/>
            </c:ext>
          </c:extLst>
        </c:ser>
        <c:dLbls>
          <c:dLblPos val="t"/>
          <c:showLegendKey val="0"/>
          <c:showVal val="1"/>
          <c:showCatName val="0"/>
          <c:showSerName val="0"/>
          <c:showPercent val="0"/>
          <c:showBubbleSize val="0"/>
        </c:dLbls>
        <c:smooth val="0"/>
        <c:axId val="124879967"/>
        <c:axId val="124879007"/>
      </c:lineChart>
      <c:catAx>
        <c:axId val="124879967"/>
        <c:scaling>
          <c:orientation val="minMax"/>
        </c:scaling>
        <c:delete val="0"/>
        <c:axPos val="b"/>
        <c:numFmt formatCode="General" sourceLinked="1"/>
        <c:majorTickMark val="none"/>
        <c:minorTickMark val="none"/>
        <c:tickLblPos val="nextTo"/>
        <c:spPr>
          <a:noFill/>
          <a:ln w="9525" cap="flat" cmpd="sng" algn="ctr">
            <a:solidFill>
              <a:schemeClr val="tx1">
                <a:lumMod val="85000"/>
                <a:lumOff val="1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4879007"/>
        <c:crosses val="autoZero"/>
        <c:auto val="1"/>
        <c:lblAlgn val="ctr"/>
        <c:lblOffset val="100"/>
        <c:noMultiLvlLbl val="0"/>
      </c:catAx>
      <c:valAx>
        <c:axId val="124879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879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[WeCare_Zambia_Health_Dataset_2023.xlsx]Pivot_Table!PivotTable3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Outcome</a:t>
            </a:r>
            <a:r>
              <a:rPr lang="en-US" b="1" baseline="0">
                <a:solidFill>
                  <a:schemeClr val="tx1"/>
                </a:solidFill>
              </a:rPr>
              <a:t> Analysis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Pivot_Table!$B$37</c:f>
              <c:strCache>
                <c:ptCount val="1"/>
                <c:pt idx="0">
                  <c:v>Total</c:v>
                </c:pt>
              </c:strCache>
            </c:strRef>
          </c:tx>
          <c:spPr>
            <a:solidFill>
              <a:schemeClr val="tx1">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Pivot_Table!$A$38:$A$42</c:f>
              <c:strCache>
                <c:ptCount val="4"/>
                <c:pt idx="0">
                  <c:v>Deceased</c:v>
                </c:pt>
                <c:pt idx="1">
                  <c:v>Recovered</c:v>
                </c:pt>
                <c:pt idx="2">
                  <c:v>Referred</c:v>
                </c:pt>
                <c:pt idx="3">
                  <c:v>Under Treatment</c:v>
                </c:pt>
              </c:strCache>
            </c:strRef>
          </c:cat>
          <c:val>
            <c:numRef>
              <c:f>Pivot_Table!$B$38:$B$42</c:f>
              <c:numCache>
                <c:formatCode>0.00%</c:formatCode>
                <c:ptCount val="4"/>
                <c:pt idx="0">
                  <c:v>7.0707070707070704E-2</c:v>
                </c:pt>
                <c:pt idx="1">
                  <c:v>0.5757575757575758</c:v>
                </c:pt>
                <c:pt idx="2">
                  <c:v>0.12121212121212122</c:v>
                </c:pt>
                <c:pt idx="3">
                  <c:v>0.23232323232323232</c:v>
                </c:pt>
              </c:numCache>
            </c:numRef>
          </c:val>
          <c:extLst>
            <c:ext xmlns:c16="http://schemas.microsoft.com/office/drawing/2014/chart" uri="{C3380CC4-5D6E-409C-BE32-E72D297353CC}">
              <c16:uniqueId val="{00000000-723D-4F9B-A196-24E115D3843F}"/>
            </c:ext>
          </c:extLst>
        </c:ser>
        <c:dLbls>
          <c:showLegendKey val="0"/>
          <c:showVal val="0"/>
          <c:showCatName val="0"/>
          <c:showSerName val="0"/>
          <c:showPercent val="0"/>
          <c:showBubbleSize val="0"/>
        </c:dLbls>
        <c:gapWidth val="182"/>
        <c:axId val="66150191"/>
        <c:axId val="66151631"/>
      </c:barChart>
      <c:catAx>
        <c:axId val="66150191"/>
        <c:scaling>
          <c:orientation val="minMax"/>
        </c:scaling>
        <c:delete val="0"/>
        <c:axPos val="l"/>
        <c:numFmt formatCode="General" sourceLinked="1"/>
        <c:majorTickMark val="none"/>
        <c:minorTickMark val="none"/>
        <c:tickLblPos val="nextTo"/>
        <c:spPr>
          <a:noFill/>
          <a:ln w="9525" cap="flat" cmpd="sng" algn="ctr">
            <a:solidFill>
              <a:schemeClr val="tx1">
                <a:lumMod val="85000"/>
                <a:lumOff val="1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6151631"/>
        <c:crosses val="autoZero"/>
        <c:auto val="1"/>
        <c:lblAlgn val="ctr"/>
        <c:lblOffset val="100"/>
        <c:noMultiLvlLbl val="0"/>
      </c:catAx>
      <c:valAx>
        <c:axId val="66151631"/>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150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[WeCare_Zambia_Health_Dataset_2023.xlsx]Pivot_Table_2!PivotTable8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Disease</a:t>
            </a:r>
            <a:r>
              <a:rPr lang="en-US" b="1" baseline="0">
                <a:solidFill>
                  <a:schemeClr val="tx1"/>
                </a:solidFill>
              </a:rPr>
              <a:t> Distribution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solidFill>
              <a:schemeClr val="tx1">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Pivot_Table_2!$B$3</c:f>
              <c:strCache>
                <c:ptCount val="1"/>
                <c:pt idx="0">
                  <c:v>Total</c:v>
                </c:pt>
              </c:strCache>
            </c:strRef>
          </c:tx>
          <c:spPr>
            <a:solidFill>
              <a:schemeClr val="tx1">
                <a:lumMod val="75000"/>
                <a:lumOff val="25000"/>
              </a:schemeClr>
            </a:solidFill>
            <a:ln>
              <a:solidFill>
                <a:schemeClr val="tx1">
                  <a:lumMod val="75000"/>
                  <a:lumOff val="2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Pivot_Table_2!$A$4:$A$11</c:f>
              <c:strCache>
                <c:ptCount val="7"/>
                <c:pt idx="0">
                  <c:v>Cholera</c:v>
                </c:pt>
                <c:pt idx="1">
                  <c:v>HIV/AIDS</c:v>
                </c:pt>
                <c:pt idx="2">
                  <c:v>Malaria</c:v>
                </c:pt>
                <c:pt idx="3">
                  <c:v>Malnutrition</c:v>
                </c:pt>
                <c:pt idx="4">
                  <c:v>Pneumonia</c:v>
                </c:pt>
                <c:pt idx="5">
                  <c:v>TB</c:v>
                </c:pt>
                <c:pt idx="6">
                  <c:v>Typhoid</c:v>
                </c:pt>
              </c:strCache>
            </c:strRef>
          </c:cat>
          <c:val>
            <c:numRef>
              <c:f>Pivot_Table_2!$B$4:$B$11</c:f>
              <c:numCache>
                <c:formatCode>General</c:formatCode>
                <c:ptCount val="7"/>
                <c:pt idx="0">
                  <c:v>7</c:v>
                </c:pt>
                <c:pt idx="1">
                  <c:v>14</c:v>
                </c:pt>
                <c:pt idx="2">
                  <c:v>30</c:v>
                </c:pt>
                <c:pt idx="3">
                  <c:v>9</c:v>
                </c:pt>
                <c:pt idx="4">
                  <c:v>10</c:v>
                </c:pt>
                <c:pt idx="5">
                  <c:v>24</c:v>
                </c:pt>
                <c:pt idx="6">
                  <c:v>5</c:v>
                </c:pt>
              </c:numCache>
            </c:numRef>
          </c:val>
          <c:extLst>
            <c:ext xmlns:c16="http://schemas.microsoft.com/office/drawing/2014/chart" uri="{C3380CC4-5D6E-409C-BE32-E72D297353CC}">
              <c16:uniqueId val="{00000000-AB65-4866-A4E0-80C6ECD00B9C}"/>
            </c:ext>
          </c:extLst>
        </c:ser>
        <c:dLbls>
          <c:dLblPos val="outEnd"/>
          <c:showLegendKey val="0"/>
          <c:showVal val="1"/>
          <c:showCatName val="0"/>
          <c:showSerName val="0"/>
          <c:showPercent val="0"/>
          <c:showBubbleSize val="0"/>
        </c:dLbls>
        <c:gapWidth val="219"/>
        <c:overlap val="-27"/>
        <c:axId val="145003583"/>
        <c:axId val="145004063"/>
      </c:barChart>
      <c:catAx>
        <c:axId val="145003583"/>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5004063"/>
        <c:crosses val="autoZero"/>
        <c:auto val="1"/>
        <c:lblAlgn val="ctr"/>
        <c:lblOffset val="100"/>
        <c:noMultiLvlLbl val="0"/>
      </c:catAx>
      <c:valAx>
        <c:axId val="145004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03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466725</xdr:colOff>
      <xdr:row>1</xdr:row>
      <xdr:rowOff>85725</xdr:rowOff>
    </xdr:from>
    <xdr:to>
      <xdr:col>11</xdr:col>
      <xdr:colOff>238125</xdr:colOff>
      <xdr:row>15</xdr:row>
      <xdr:rowOff>161925</xdr:rowOff>
    </xdr:to>
    <xdr:graphicFrame macro="">
      <xdr:nvGraphicFramePr>
        <xdr:cNvPr id="2" name="Chart 1">
          <a:extLst>
            <a:ext uri="{FF2B5EF4-FFF2-40B4-BE49-F238E27FC236}">
              <a16:creationId xmlns:a16="http://schemas.microsoft.com/office/drawing/2014/main" id="{0D933580-7D71-A0F8-73D9-9AF3ADA60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590550</xdr:colOff>
      <xdr:row>16</xdr:row>
      <xdr:rowOff>28575</xdr:rowOff>
    </xdr:from>
    <xdr:to>
      <xdr:col>10</xdr:col>
      <xdr:colOff>361950</xdr:colOff>
      <xdr:row>30</xdr:row>
      <xdr:rowOff>104775</xdr:rowOff>
    </xdr:to>
    <xdr:graphicFrame macro="">
      <xdr:nvGraphicFramePr>
        <xdr:cNvPr id="3" name="Chart 2">
          <a:extLst>
            <a:ext uri="{FF2B5EF4-FFF2-40B4-BE49-F238E27FC236}">
              <a16:creationId xmlns:a16="http://schemas.microsoft.com/office/drawing/2014/main" id="{3BC16ABB-1B9D-A99B-6DE5-3254FE7A82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504825</xdr:colOff>
      <xdr:row>31</xdr:row>
      <xdr:rowOff>104775</xdr:rowOff>
    </xdr:from>
    <xdr:to>
      <xdr:col>10</xdr:col>
      <xdr:colOff>276225</xdr:colOff>
      <xdr:row>45</xdr:row>
      <xdr:rowOff>180975</xdr:rowOff>
    </xdr:to>
    <xdr:graphicFrame macro="">
      <xdr:nvGraphicFramePr>
        <xdr:cNvPr id="4" name="Chart 3">
          <a:extLst>
            <a:ext uri="{FF2B5EF4-FFF2-40B4-BE49-F238E27FC236}">
              <a16:creationId xmlns:a16="http://schemas.microsoft.com/office/drawing/2014/main" id="{C9883852-6E42-A9BD-C688-712A53F77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438150</xdr:colOff>
      <xdr:row>63</xdr:row>
      <xdr:rowOff>66675</xdr:rowOff>
    </xdr:from>
    <xdr:to>
      <xdr:col>9</xdr:col>
      <xdr:colOff>923925</xdr:colOff>
      <xdr:row>77</xdr:row>
      <xdr:rowOff>142875</xdr:rowOff>
    </xdr:to>
    <xdr:graphicFrame macro="">
      <xdr:nvGraphicFramePr>
        <xdr:cNvPr id="5" name="Chart 4">
          <a:extLst>
            <a:ext uri="{FF2B5EF4-FFF2-40B4-BE49-F238E27FC236}">
              <a16:creationId xmlns:a16="http://schemas.microsoft.com/office/drawing/2014/main" id="{E435AC46-B3DC-93A6-1493-4804C9CE1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4</xdr:row>
      <xdr:rowOff>142875</xdr:rowOff>
    </xdr:from>
    <xdr:to>
      <xdr:col>8</xdr:col>
      <xdr:colOff>6096</xdr:colOff>
      <xdr:row>14</xdr:row>
      <xdr:rowOff>103251</xdr:rowOff>
    </xdr:to>
    <xdr:graphicFrame macro="">
      <xdr:nvGraphicFramePr>
        <xdr:cNvPr id="2" name="Chart 1">
          <a:extLst>
            <a:ext uri="{FF2B5EF4-FFF2-40B4-BE49-F238E27FC236}">
              <a16:creationId xmlns:a16="http://schemas.microsoft.com/office/drawing/2014/main" id="{197BDD8A-2AA3-F59D-16E1-F245042599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381000</xdr:colOff>
      <xdr:row>6</xdr:row>
      <xdr:rowOff>166687</xdr:rowOff>
    </xdr:from>
    <xdr:to>
      <xdr:col>22</xdr:col>
      <xdr:colOff>547687</xdr:colOff>
      <xdr:row>24</xdr:row>
      <xdr:rowOff>47625</xdr:rowOff>
    </xdr:to>
    <xdr:sp macro="" textlink="">
      <xdr:nvSpPr>
        <xdr:cNvPr id="27" name="Rectangle: Rounded Corners 26">
          <a:extLst>
            <a:ext uri="{FF2B5EF4-FFF2-40B4-BE49-F238E27FC236}">
              <a16:creationId xmlns:a16="http://schemas.microsoft.com/office/drawing/2014/main" id="{F5C6F120-B9FF-529D-CEBB-AC4C49050F2D}"/>
            </a:ext>
          </a:extLst>
        </xdr:cNvPr>
        <xdr:cNvSpPr/>
      </xdr:nvSpPr>
      <xdr:spPr>
        <a:xfrm>
          <a:off x="8882063" y="1309687"/>
          <a:ext cx="5024437" cy="3309938"/>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190499</xdr:colOff>
      <xdr:row>7</xdr:row>
      <xdr:rowOff>154780</xdr:rowOff>
    </xdr:from>
    <xdr:to>
      <xdr:col>22</xdr:col>
      <xdr:colOff>190499</xdr:colOff>
      <xdr:row>23</xdr:row>
      <xdr:rowOff>71437</xdr:rowOff>
    </xdr:to>
    <xdr:graphicFrame macro="">
      <xdr:nvGraphicFramePr>
        <xdr:cNvPr id="13" name="Chart 12">
          <a:extLst>
            <a:ext uri="{FF2B5EF4-FFF2-40B4-BE49-F238E27FC236}">
              <a16:creationId xmlns:a16="http://schemas.microsoft.com/office/drawing/2014/main" id="{78061AE2-4B60-438A-9247-7E3D78AFF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511969</xdr:colOff>
      <xdr:row>15</xdr:row>
      <xdr:rowOff>119063</xdr:rowOff>
    </xdr:from>
    <xdr:to>
      <xdr:col>14</xdr:col>
      <xdr:colOff>357188</xdr:colOff>
      <xdr:row>26</xdr:row>
      <xdr:rowOff>178594</xdr:rowOff>
    </xdr:to>
    <xdr:sp macro="" textlink="">
      <xdr:nvSpPr>
        <xdr:cNvPr id="26" name="Rectangle: Rounded Corners 25">
          <a:extLst>
            <a:ext uri="{FF2B5EF4-FFF2-40B4-BE49-F238E27FC236}">
              <a16:creationId xmlns:a16="http://schemas.microsoft.com/office/drawing/2014/main" id="{8FB2934D-5199-42CB-8C75-3165EB1371B7}"/>
            </a:ext>
          </a:extLst>
        </xdr:cNvPr>
        <xdr:cNvSpPr/>
      </xdr:nvSpPr>
      <xdr:spPr>
        <a:xfrm>
          <a:off x="5369719" y="2976563"/>
          <a:ext cx="3488532" cy="2155031"/>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35719</xdr:colOff>
      <xdr:row>15</xdr:row>
      <xdr:rowOff>107158</xdr:rowOff>
    </xdr:from>
    <xdr:to>
      <xdr:col>8</xdr:col>
      <xdr:colOff>488157</xdr:colOff>
      <xdr:row>26</xdr:row>
      <xdr:rowOff>166689</xdr:rowOff>
    </xdr:to>
    <xdr:sp macro="" textlink="">
      <xdr:nvSpPr>
        <xdr:cNvPr id="18" name="Rectangle: Rounded Corners 17">
          <a:extLst>
            <a:ext uri="{FF2B5EF4-FFF2-40B4-BE49-F238E27FC236}">
              <a16:creationId xmlns:a16="http://schemas.microsoft.com/office/drawing/2014/main" id="{06E6C9C1-D059-4AF7-85AC-B98C93812738}"/>
            </a:ext>
          </a:extLst>
        </xdr:cNvPr>
        <xdr:cNvSpPr/>
      </xdr:nvSpPr>
      <xdr:spPr>
        <a:xfrm>
          <a:off x="1857375" y="2964658"/>
          <a:ext cx="3488532" cy="2155031"/>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35719</xdr:colOff>
      <xdr:row>4</xdr:row>
      <xdr:rowOff>23812</xdr:rowOff>
    </xdr:from>
    <xdr:to>
      <xdr:col>8</xdr:col>
      <xdr:colOff>488157</xdr:colOff>
      <xdr:row>15</xdr:row>
      <xdr:rowOff>83343</xdr:rowOff>
    </xdr:to>
    <xdr:sp macro="" textlink="">
      <xdr:nvSpPr>
        <xdr:cNvPr id="15" name="Rectangle: Rounded Corners 14">
          <a:extLst>
            <a:ext uri="{FF2B5EF4-FFF2-40B4-BE49-F238E27FC236}">
              <a16:creationId xmlns:a16="http://schemas.microsoft.com/office/drawing/2014/main" id="{B59881DD-0EDE-798E-D770-E6CC787452EE}"/>
            </a:ext>
          </a:extLst>
        </xdr:cNvPr>
        <xdr:cNvSpPr/>
      </xdr:nvSpPr>
      <xdr:spPr>
        <a:xfrm>
          <a:off x="1857375" y="785812"/>
          <a:ext cx="3488532" cy="2155031"/>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500062</xdr:colOff>
      <xdr:row>4</xdr:row>
      <xdr:rowOff>47624</xdr:rowOff>
    </xdr:from>
    <xdr:to>
      <xdr:col>14</xdr:col>
      <xdr:colOff>345281</xdr:colOff>
      <xdr:row>15</xdr:row>
      <xdr:rowOff>107155</xdr:rowOff>
    </xdr:to>
    <xdr:sp macro="" textlink="">
      <xdr:nvSpPr>
        <xdr:cNvPr id="17" name="Rectangle: Rounded Corners 16">
          <a:extLst>
            <a:ext uri="{FF2B5EF4-FFF2-40B4-BE49-F238E27FC236}">
              <a16:creationId xmlns:a16="http://schemas.microsoft.com/office/drawing/2014/main" id="{58E68130-AEE1-4D62-AE8F-1B71BFC1E32D}"/>
            </a:ext>
          </a:extLst>
        </xdr:cNvPr>
        <xdr:cNvSpPr/>
      </xdr:nvSpPr>
      <xdr:spPr>
        <a:xfrm>
          <a:off x="5357812" y="809624"/>
          <a:ext cx="3488532" cy="2155031"/>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147637</xdr:colOff>
      <xdr:row>4</xdr:row>
      <xdr:rowOff>171451</xdr:rowOff>
    </xdr:from>
    <xdr:to>
      <xdr:col>8</xdr:col>
      <xdr:colOff>385762</xdr:colOff>
      <xdr:row>14</xdr:row>
      <xdr:rowOff>123825</xdr:rowOff>
    </xdr:to>
    <xdr:graphicFrame macro="">
      <xdr:nvGraphicFramePr>
        <xdr:cNvPr id="3" name="Chart 2">
          <a:extLst>
            <a:ext uri="{FF2B5EF4-FFF2-40B4-BE49-F238E27FC236}">
              <a16:creationId xmlns:a16="http://schemas.microsoft.com/office/drawing/2014/main" id="{620F5FF3-BDCD-47BA-B2CA-59DF678EF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45244</xdr:colOff>
      <xdr:row>5</xdr:row>
      <xdr:rowOff>4762</xdr:rowOff>
    </xdr:from>
    <xdr:to>
      <xdr:col>14</xdr:col>
      <xdr:colOff>279939</xdr:colOff>
      <xdr:row>14</xdr:row>
      <xdr:rowOff>146494</xdr:rowOff>
    </xdr:to>
    <xdr:graphicFrame macro="">
      <xdr:nvGraphicFramePr>
        <xdr:cNvPr id="7" name="Chart 6">
          <a:extLst>
            <a:ext uri="{FF2B5EF4-FFF2-40B4-BE49-F238E27FC236}">
              <a16:creationId xmlns:a16="http://schemas.microsoft.com/office/drawing/2014/main" id="{C82451CF-3BEA-4BB9-93B3-EB888AC75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138113</xdr:colOff>
      <xdr:row>16</xdr:row>
      <xdr:rowOff>23813</xdr:rowOff>
    </xdr:from>
    <xdr:to>
      <xdr:col>8</xdr:col>
      <xdr:colOff>372809</xdr:colOff>
      <xdr:row>26</xdr:row>
      <xdr:rowOff>74677</xdr:rowOff>
    </xdr:to>
    <xdr:graphicFrame macro="">
      <xdr:nvGraphicFramePr>
        <xdr:cNvPr id="11" name="Chart 10">
          <a:extLst>
            <a:ext uri="{FF2B5EF4-FFF2-40B4-BE49-F238E27FC236}">
              <a16:creationId xmlns:a16="http://schemas.microsoft.com/office/drawing/2014/main" id="{F05827C7-F248-47E9-9FA0-E5616AA25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28576</xdr:rowOff>
    </xdr:from>
    <xdr:to>
      <xdr:col>3</xdr:col>
      <xdr:colOff>7144</xdr:colOff>
      <xdr:row>6</xdr:row>
      <xdr:rowOff>47626</xdr:rowOff>
    </xdr:to>
    <mc:AlternateContent xmlns:mc="http://schemas.openxmlformats.org/markup-compatibility/2006">
      <mc:Choice xmlns:a14="http://schemas.microsoft.com/office/drawing/2010/main" Requires="a14">
        <xdr:graphicFrame macro="">
          <xdr:nvGraphicFramePr>
            <xdr:cNvPr id="19" name="Province">
              <a:extLst>
                <a:ext uri="{FF2B5EF4-FFF2-40B4-BE49-F238E27FC236}">
                  <a16:creationId xmlns:a16="http://schemas.microsoft.com/office/drawing/2014/main" id="{D3A4BBE4-4516-61D5-0C42-5FB8018CE060}"/>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dr:sp macro="" textlink="">
          <xdr:nvSpPr>
            <xdr:cNvPr id="0" name=""/>
            <xdr:cNvSpPr>
              <a:spLocks noTextEdit="1"/>
            </xdr:cNvSpPr>
          </xdr:nvSpPr>
          <xdr:spPr>
            <a:xfrm>
              <a:off x="0" y="28576"/>
              <a:ext cx="1828800"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4763</xdr:rowOff>
    </xdr:from>
    <xdr:to>
      <xdr:col>3</xdr:col>
      <xdr:colOff>7144</xdr:colOff>
      <xdr:row>14</xdr:row>
      <xdr:rowOff>11906</xdr:rowOff>
    </xdr:to>
    <mc:AlternateContent xmlns:mc="http://schemas.openxmlformats.org/markup-compatibility/2006">
      <mc:Choice xmlns:a14="http://schemas.microsoft.com/office/drawing/2010/main" Requires="a14">
        <xdr:graphicFrame macro="">
          <xdr:nvGraphicFramePr>
            <xdr:cNvPr id="20" name="District">
              <a:extLst>
                <a:ext uri="{FF2B5EF4-FFF2-40B4-BE49-F238E27FC236}">
                  <a16:creationId xmlns:a16="http://schemas.microsoft.com/office/drawing/2014/main" id="{EAEA2867-64E1-0714-99FF-33CDE8091ECB}"/>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dr:sp macro="" textlink="">
          <xdr:nvSpPr>
            <xdr:cNvPr id="0" name=""/>
            <xdr:cNvSpPr>
              <a:spLocks noTextEdit="1"/>
            </xdr:cNvSpPr>
          </xdr:nvSpPr>
          <xdr:spPr>
            <a:xfrm>
              <a:off x="0" y="1528763"/>
              <a:ext cx="1828800" cy="1150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107157</xdr:rowOff>
    </xdr:from>
    <xdr:to>
      <xdr:col>3</xdr:col>
      <xdr:colOff>7144</xdr:colOff>
      <xdr:row>21</xdr:row>
      <xdr:rowOff>11906</xdr:rowOff>
    </xdr:to>
    <mc:AlternateContent xmlns:mc="http://schemas.openxmlformats.org/markup-compatibility/2006">
      <mc:Choice xmlns:a14="http://schemas.microsoft.com/office/drawing/2010/main" Requires="a14">
        <xdr:graphicFrame macro="">
          <xdr:nvGraphicFramePr>
            <xdr:cNvPr id="21" name="Gender">
              <a:extLst>
                <a:ext uri="{FF2B5EF4-FFF2-40B4-BE49-F238E27FC236}">
                  <a16:creationId xmlns:a16="http://schemas.microsoft.com/office/drawing/2014/main" id="{1A07C6E0-6038-DEA9-B1DF-A10FEAE32EA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2964657"/>
              <a:ext cx="1828800" cy="1047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11907</xdr:colOff>
      <xdr:row>16</xdr:row>
      <xdr:rowOff>83344</xdr:rowOff>
    </xdr:from>
    <xdr:to>
      <xdr:col>14</xdr:col>
      <xdr:colOff>258509</xdr:colOff>
      <xdr:row>26</xdr:row>
      <xdr:rowOff>43720</xdr:rowOff>
    </xdr:to>
    <xdr:graphicFrame macro="">
      <xdr:nvGraphicFramePr>
        <xdr:cNvPr id="23" name="Chart 22">
          <a:extLst>
            <a:ext uri="{FF2B5EF4-FFF2-40B4-BE49-F238E27FC236}">
              <a16:creationId xmlns:a16="http://schemas.microsoft.com/office/drawing/2014/main" id="{75C23E0E-24C1-44F0-B054-5F6475B9E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70.297363078702" createdVersion="8" refreshedVersion="8" minRefreshableVersion="3" recordCount="99" xr:uid="{2097DE21-E31A-47E1-8B73-00AD57712CF0}">
  <cacheSource type="worksheet">
    <worksheetSource name="PATIENT_INTAKE"/>
  </cacheSource>
  <cacheFields count="13">
    <cacheField name="Patient_ID" numFmtId="0">
      <sharedItems/>
    </cacheField>
    <cacheField name="Full_Name" numFmtId="0">
      <sharedItems/>
    </cacheField>
    <cacheField name="Age" numFmtId="0">
      <sharedItems containsMixedTypes="1" containsNumber="1" containsInteger="1" minValue="5" maxValue="83"/>
    </cacheField>
    <cacheField name="Gender" numFmtId="0">
      <sharedItems count="2">
        <s v="Male"/>
        <s v="Female"/>
      </sharedItems>
    </cacheField>
    <cacheField name="Province" numFmtId="0">
      <sharedItems count="10">
        <s v="North-Western"/>
        <s v="Central"/>
        <s v="Copperbelt"/>
        <s v="Western"/>
        <s v="Eastern"/>
        <s v="Luapula"/>
        <s v="Muchinga"/>
        <s v="Northern"/>
        <s v="Lusaka"/>
        <s v="Southern"/>
      </sharedItems>
    </cacheField>
    <cacheField name="District" numFmtId="0">
      <sharedItems count="36">
        <s v="Solwezi"/>
        <s v="Kapiri Mposhi"/>
        <s v="Chingola"/>
        <s v="Ndola"/>
        <s v="Senanga"/>
        <s v="Mwinilunga"/>
        <s v="Lundazi"/>
        <s v="Kawambwa"/>
        <s v="Mpika"/>
        <s v="Mongu"/>
        <s v="Mbala"/>
        <s v="Mkushi"/>
        <s v="Kafue"/>
        <s v="Lusaka"/>
        <s v="Mpulungu"/>
        <s v="Zambezi"/>
        <s v="Mansa"/>
        <s v="Chavuma"/>
        <s v="Chongwe"/>
        <s v="Petauke"/>
        <s v="Chinsali"/>
        <s v="Kasama"/>
        <s v="Luangwa"/>
        <s v="Livingstone"/>
        <s v="Isoka"/>
        <s v="Katete"/>
        <s v="Serenje"/>
        <s v="Lukulu"/>
        <s v="Kalabo"/>
        <s v="Kitwe"/>
        <s v="Mufulira"/>
        <s v="Nchelenge"/>
        <s v="Kabwe"/>
        <s v="Nakonde"/>
        <s v="Samfya"/>
        <s v="Mazabuka"/>
      </sharedItems>
    </cacheField>
    <cacheField name="Disease" numFmtId="0">
      <sharedItems count="7">
        <s v="TB"/>
        <s v="Malaria"/>
        <s v="Malnutrition"/>
        <s v="HIV/AIDS"/>
        <s v="Pneumonia"/>
        <s v="Typhoid"/>
        <s v="Cholera"/>
      </sharedItems>
    </cacheField>
    <cacheField name="Visit_Date" numFmtId="166">
      <sharedItems containsSemiMixedTypes="0" containsNonDate="0" containsDate="1" containsString="0" minDate="2023-01-02T00:00:00" maxDate="2023-12-27T00:00:00"/>
    </cacheField>
    <cacheField name="Visit_Quarter" numFmtId="0">
      <sharedItems count="4">
        <s v="Q3"/>
        <s v="Q1"/>
        <s v="Q4"/>
        <s v="Q2"/>
      </sharedItems>
    </cacheField>
    <cacheField name="Referral_Source" numFmtId="0">
      <sharedItems/>
    </cacheField>
    <cacheField name="Test_Result" numFmtId="0">
      <sharedItems/>
    </cacheField>
    <cacheField name="Outcome" numFmtId="0">
      <sharedItems count="4">
        <s v="Deceased"/>
        <s v="Recovered"/>
        <s v="Referred"/>
        <s v="Under Treatment"/>
      </sharedItems>
    </cacheField>
    <cacheField name="Follow_Up" numFmtId="0">
      <sharedItems count="3">
        <s v="Yes"/>
        <s v="No"/>
        <s v="N/A"/>
      </sharedItems>
    </cacheField>
  </cacheFields>
  <extLst>
    <ext xmlns:x14="http://schemas.microsoft.com/office/spreadsheetml/2009/9/main" uri="{725AE2AE-9491-48be-B2B4-4EB974FC3084}">
      <x14:pivotCacheDefinition pivotCacheId="4980036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s v="ZMB-001"/>
    <s v="Musonda Tembo"/>
    <n v="33"/>
    <x v="0"/>
    <x v="0"/>
    <x v="0"/>
    <x v="0"/>
    <d v="2023-02-07T00:00:00"/>
    <x v="0"/>
    <s v="Community Health Worker"/>
    <s v="Negative"/>
    <x v="0"/>
    <x v="0"/>
  </r>
  <r>
    <s v="ZMB-002"/>
    <s v="Kampamba Kapembwa"/>
    <s v="N/A"/>
    <x v="0"/>
    <x v="1"/>
    <x v="1"/>
    <x v="1"/>
    <d v="2023-03-23T00:00:00"/>
    <x v="1"/>
    <s v="Hospital Referral"/>
    <s v="Positive"/>
    <x v="1"/>
    <x v="0"/>
  </r>
  <r>
    <s v="ZMB-003"/>
    <s v="Samuel Mwangi"/>
    <n v="16"/>
    <x v="1"/>
    <x v="2"/>
    <x v="2"/>
    <x v="2"/>
    <d v="2023-09-10T00:00:00"/>
    <x v="2"/>
    <s v="Community Health Worker"/>
    <s v="Positive"/>
    <x v="2"/>
    <x v="0"/>
  </r>
  <r>
    <s v="ZMB-004"/>
    <s v="Precious Phiri"/>
    <n v="51"/>
    <x v="0"/>
    <x v="2"/>
    <x v="3"/>
    <x v="3"/>
    <d v="2023-03-05T00:00:00"/>
    <x v="3"/>
    <s v="NGO Outreach"/>
    <s v="Negative"/>
    <x v="1"/>
    <x v="1"/>
  </r>
  <r>
    <s v="ZMB-005"/>
    <s v="Lubuto Bwalya"/>
    <n v="25"/>
    <x v="1"/>
    <x v="3"/>
    <x v="4"/>
    <x v="4"/>
    <d v="2023-12-22T00:00:00"/>
    <x v="2"/>
    <s v="Self-Referral"/>
    <s v="Negative"/>
    <x v="1"/>
    <x v="2"/>
  </r>
  <r>
    <s v="ZMB-006"/>
    <s v="Daliso Lungu"/>
    <n v="53"/>
    <x v="1"/>
    <x v="0"/>
    <x v="5"/>
    <x v="2"/>
    <d v="2023-08-01T00:00:00"/>
    <x v="1"/>
    <s v="Community Health Worker"/>
    <s v="Positive"/>
    <x v="1"/>
    <x v="1"/>
  </r>
  <r>
    <s v="ZMB-007"/>
    <s v="Mary Daka"/>
    <n v="77"/>
    <x v="1"/>
    <x v="4"/>
    <x v="6"/>
    <x v="5"/>
    <d v="2023-11-15T00:00:00"/>
    <x v="2"/>
    <s v="Hospital Referral"/>
    <s v="Negative"/>
    <x v="1"/>
    <x v="0"/>
  </r>
  <r>
    <s v="ZMB-008"/>
    <s v="Wiza Kafwembe"/>
    <n v="79"/>
    <x v="1"/>
    <x v="5"/>
    <x v="7"/>
    <x v="2"/>
    <d v="2023-05-04T00:00:00"/>
    <x v="3"/>
    <s v="NGO Outreach"/>
    <s v="Negative"/>
    <x v="1"/>
    <x v="0"/>
  </r>
  <r>
    <s v="ZMB-009"/>
    <s v="James Bwalya"/>
    <n v="59"/>
    <x v="0"/>
    <x v="6"/>
    <x v="8"/>
    <x v="0"/>
    <d v="2023-08-17T00:00:00"/>
    <x v="0"/>
    <s v="Community Health Worker"/>
    <s v="Positive"/>
    <x v="1"/>
    <x v="2"/>
  </r>
  <r>
    <s v="ZMB-010"/>
    <s v="Daliso Tembo"/>
    <n v="73"/>
    <x v="0"/>
    <x v="3"/>
    <x v="9"/>
    <x v="4"/>
    <d v="2023-06-07T00:00:00"/>
    <x v="0"/>
    <s v="NGO Outreach"/>
    <s v="Positive"/>
    <x v="1"/>
    <x v="2"/>
  </r>
  <r>
    <s v="ZMB-011"/>
    <s v="Kunda Mbewe"/>
    <n v="18"/>
    <x v="1"/>
    <x v="0"/>
    <x v="5"/>
    <x v="6"/>
    <d v="2023-06-25T00:00:00"/>
    <x v="3"/>
    <s v="Hospital Referral"/>
    <s v="Positive"/>
    <x v="2"/>
    <x v="0"/>
  </r>
  <r>
    <s v="ZMB-012"/>
    <s v="Mapalo Mutale"/>
    <n v="19"/>
    <x v="1"/>
    <x v="7"/>
    <x v="10"/>
    <x v="1"/>
    <d v="2023-04-19T00:00:00"/>
    <x v="3"/>
    <s v="Self-Referral"/>
    <s v="Negative"/>
    <x v="1"/>
    <x v="0"/>
  </r>
  <r>
    <s v="ZMB-013"/>
    <s v="Kunda Kafwembe"/>
    <n v="21"/>
    <x v="1"/>
    <x v="0"/>
    <x v="5"/>
    <x v="4"/>
    <d v="2023-09-28T00:00:00"/>
    <x v="0"/>
    <s v="Hospital Referral"/>
    <s v="Positive"/>
    <x v="2"/>
    <x v="2"/>
  </r>
  <r>
    <s v="ZMB-014"/>
    <s v="Mwamba Daka"/>
    <n v="56"/>
    <x v="1"/>
    <x v="1"/>
    <x v="11"/>
    <x v="0"/>
    <d v="2023-08-04T00:00:00"/>
    <x v="3"/>
    <s v="Self-Referral"/>
    <s v="Positive"/>
    <x v="1"/>
    <x v="2"/>
  </r>
  <r>
    <s v="ZMB-015"/>
    <s v="Benson Lungu"/>
    <n v="5"/>
    <x v="0"/>
    <x v="8"/>
    <x v="12"/>
    <x v="1"/>
    <d v="2023-01-28T00:00:00"/>
    <x v="1"/>
    <s v="Self-Referral"/>
    <s v="Negative"/>
    <x v="2"/>
    <x v="0"/>
  </r>
  <r>
    <s v="ZMB-016"/>
    <s v="Francis Nsofu"/>
    <n v="74"/>
    <x v="0"/>
    <x v="5"/>
    <x v="7"/>
    <x v="3"/>
    <d v="2023-08-26T00:00:00"/>
    <x v="0"/>
    <s v="Hospital Referral"/>
    <s v="Positive"/>
    <x v="3"/>
    <x v="0"/>
  </r>
  <r>
    <s v="ZMB-017"/>
    <s v="Felicity Nkonde"/>
    <n v="57"/>
    <x v="1"/>
    <x v="8"/>
    <x v="13"/>
    <x v="1"/>
    <d v="2023-07-24T00:00:00"/>
    <x v="0"/>
    <s v="Self-Referral"/>
    <s v="Negative"/>
    <x v="0"/>
    <x v="0"/>
  </r>
  <r>
    <s v="ZMB-018"/>
    <s v="Towela Kafwembe"/>
    <n v="59"/>
    <x v="0"/>
    <x v="7"/>
    <x v="14"/>
    <x v="3"/>
    <d v="2023-02-15T00:00:00"/>
    <x v="1"/>
    <s v="Self-Referral"/>
    <s v="Positive"/>
    <x v="2"/>
    <x v="0"/>
  </r>
  <r>
    <s v="ZMB-019"/>
    <s v="Peter Mwangi"/>
    <n v="26"/>
    <x v="1"/>
    <x v="1"/>
    <x v="11"/>
    <x v="3"/>
    <d v="2023-02-07T00:00:00"/>
    <x v="0"/>
    <s v="Hospital Referral"/>
    <s v="Negative"/>
    <x v="1"/>
    <x v="1"/>
  </r>
  <r>
    <s v="ZMB-020"/>
    <s v="Mirriam Zombe"/>
    <n v="41"/>
    <x v="1"/>
    <x v="0"/>
    <x v="15"/>
    <x v="0"/>
    <d v="2023-10-04T00:00:00"/>
    <x v="3"/>
    <s v="NGO Outreach"/>
    <s v="Positive"/>
    <x v="3"/>
    <x v="2"/>
  </r>
  <r>
    <s v="ZMB-021"/>
    <s v="Yvonne Banda"/>
    <n v="12"/>
    <x v="0"/>
    <x v="5"/>
    <x v="7"/>
    <x v="1"/>
    <d v="2023-06-09T00:00:00"/>
    <x v="0"/>
    <s v="Community Health Worker"/>
    <s v="Positive"/>
    <x v="3"/>
    <x v="0"/>
  </r>
  <r>
    <s v="ZMB-022"/>
    <s v="Mary Kapembwa"/>
    <n v="43"/>
    <x v="0"/>
    <x v="5"/>
    <x v="16"/>
    <x v="5"/>
    <d v="2023-11-19T00:00:00"/>
    <x v="2"/>
    <s v="Self-Referral"/>
    <s v="Negative"/>
    <x v="0"/>
    <x v="2"/>
  </r>
  <r>
    <s v="ZMB-023"/>
    <s v="Natasha Mutale"/>
    <n v="55"/>
    <x v="0"/>
    <x v="7"/>
    <x v="14"/>
    <x v="2"/>
    <d v="2023-01-02T00:00:00"/>
    <x v="1"/>
    <s v="NGO Outreach"/>
    <s v="Negative"/>
    <x v="3"/>
    <x v="0"/>
  </r>
  <r>
    <s v="ZMB-024"/>
    <s v="Mary Kafwembe"/>
    <n v="38"/>
    <x v="0"/>
    <x v="3"/>
    <x v="9"/>
    <x v="3"/>
    <d v="2023-10-06T00:00:00"/>
    <x v="3"/>
    <s v="Hospital Referral"/>
    <s v="Positive"/>
    <x v="2"/>
    <x v="2"/>
  </r>
  <r>
    <s v="ZMB-025"/>
    <s v="Chisomo Kapembwa"/>
    <s v="N/A"/>
    <x v="0"/>
    <x v="0"/>
    <x v="17"/>
    <x v="0"/>
    <d v="2023-09-03T00:00:00"/>
    <x v="1"/>
    <s v="Self-Referral"/>
    <s v="Negative"/>
    <x v="2"/>
    <x v="0"/>
  </r>
  <r>
    <s v="ZMB-026"/>
    <s v="Francis Sakala"/>
    <n v="48"/>
    <x v="0"/>
    <x v="7"/>
    <x v="14"/>
    <x v="4"/>
    <d v="2023-03-01T00:00:00"/>
    <x v="1"/>
    <s v="Hospital Referral"/>
    <s v="Negative"/>
    <x v="1"/>
    <x v="0"/>
  </r>
  <r>
    <s v="ZMB-027"/>
    <s v="Nkandu Mwangi"/>
    <n v="38"/>
    <x v="0"/>
    <x v="1"/>
    <x v="11"/>
    <x v="1"/>
    <d v="2023-04-01T00:00:00"/>
    <x v="1"/>
    <s v="Self-Referral"/>
    <s v="Positive"/>
    <x v="2"/>
    <x v="0"/>
  </r>
  <r>
    <s v="ZMB-028"/>
    <s v="Godfrey Musonda"/>
    <n v="60"/>
    <x v="0"/>
    <x v="8"/>
    <x v="18"/>
    <x v="2"/>
    <d v="2023-12-01T00:00:00"/>
    <x v="1"/>
    <s v="NGO Outreach"/>
    <s v="Positive"/>
    <x v="3"/>
    <x v="1"/>
  </r>
  <r>
    <s v="ZMB-029"/>
    <s v="Chola Kafwembe"/>
    <n v="57"/>
    <x v="0"/>
    <x v="4"/>
    <x v="19"/>
    <x v="6"/>
    <d v="2023-01-07T00:00:00"/>
    <x v="0"/>
    <s v="Hospital Referral"/>
    <s v="Positive"/>
    <x v="1"/>
    <x v="2"/>
  </r>
  <r>
    <s v="ZMB-030"/>
    <s v="Wiza Zombe"/>
    <s v="N/A"/>
    <x v="0"/>
    <x v="6"/>
    <x v="20"/>
    <x v="1"/>
    <d v="2023-07-04T00:00:00"/>
    <x v="3"/>
    <s v="NGO Outreach"/>
    <s v="Positive"/>
    <x v="1"/>
    <x v="0"/>
  </r>
  <r>
    <s v="ZMB-031"/>
    <s v="Luyando Mwale"/>
    <n v="56"/>
    <x v="1"/>
    <x v="7"/>
    <x v="21"/>
    <x v="4"/>
    <d v="2023-06-21T00:00:00"/>
    <x v="3"/>
    <s v="Hospital Referral"/>
    <s v="Positive"/>
    <x v="3"/>
    <x v="0"/>
  </r>
  <r>
    <s v="ZMB-032"/>
    <s v="David Kabamba"/>
    <n v="27"/>
    <x v="1"/>
    <x v="8"/>
    <x v="13"/>
    <x v="0"/>
    <d v="2023-12-07T00:00:00"/>
    <x v="0"/>
    <s v="Self-Referral"/>
    <s v="Negative"/>
    <x v="3"/>
    <x v="2"/>
  </r>
  <r>
    <s v="ZMB-033"/>
    <s v="David Chanda"/>
    <n v="29"/>
    <x v="1"/>
    <x v="8"/>
    <x v="22"/>
    <x v="1"/>
    <d v="2023-09-26T00:00:00"/>
    <x v="0"/>
    <s v="NGO Outreach"/>
    <s v="Positive"/>
    <x v="1"/>
    <x v="0"/>
  </r>
  <r>
    <s v="ZMB-034"/>
    <s v="Felicity Mutale"/>
    <n v="20"/>
    <x v="1"/>
    <x v="0"/>
    <x v="17"/>
    <x v="5"/>
    <d v="2023-06-13T00:00:00"/>
    <x v="3"/>
    <s v="Community Health Worker"/>
    <s v="Positive"/>
    <x v="1"/>
    <x v="0"/>
  </r>
  <r>
    <s v="ZMB-035"/>
    <s v="Chileshe Nsofu"/>
    <n v="27"/>
    <x v="1"/>
    <x v="6"/>
    <x v="20"/>
    <x v="4"/>
    <d v="2023-06-15T00:00:00"/>
    <x v="3"/>
    <s v="Hospital Referral"/>
    <s v="Negative"/>
    <x v="3"/>
    <x v="2"/>
  </r>
  <r>
    <s v="ZMB-036"/>
    <s v="Mulenga Mulenga"/>
    <n v="32"/>
    <x v="1"/>
    <x v="9"/>
    <x v="23"/>
    <x v="4"/>
    <d v="2023-09-22T00:00:00"/>
    <x v="0"/>
    <s v="Self-Referral"/>
    <s v="Negative"/>
    <x v="0"/>
    <x v="2"/>
  </r>
  <r>
    <s v="ZMB-037"/>
    <s v="Chisomo Lungu"/>
    <n v="23"/>
    <x v="0"/>
    <x v="8"/>
    <x v="12"/>
    <x v="1"/>
    <d v="2023-10-28T00:00:00"/>
    <x v="2"/>
    <s v="Self-Referral"/>
    <s v="Positive"/>
    <x v="1"/>
    <x v="2"/>
  </r>
  <r>
    <s v="ZMB-038"/>
    <s v="Mutinta Daka"/>
    <n v="54"/>
    <x v="1"/>
    <x v="6"/>
    <x v="24"/>
    <x v="6"/>
    <d v="2023-11-23T00:00:00"/>
    <x v="2"/>
    <s v="Community Health Worker"/>
    <s v="Negative"/>
    <x v="1"/>
    <x v="0"/>
  </r>
  <r>
    <s v="ZMB-039"/>
    <s v="Edwin Zombe"/>
    <n v="71"/>
    <x v="1"/>
    <x v="8"/>
    <x v="12"/>
    <x v="0"/>
    <d v="2023-05-08T00:00:00"/>
    <x v="0"/>
    <s v="NGO Outreach"/>
    <s v="Positive"/>
    <x v="2"/>
    <x v="2"/>
  </r>
  <r>
    <s v="ZMB-040"/>
    <s v="Mulenga Mwangi"/>
    <n v="69"/>
    <x v="1"/>
    <x v="0"/>
    <x v="15"/>
    <x v="6"/>
    <d v="2023-09-22T00:00:00"/>
    <x v="2"/>
    <s v="NGO Outreach"/>
    <s v="Positive"/>
    <x v="1"/>
    <x v="0"/>
  </r>
  <r>
    <s v="ZMB-041"/>
    <s v="Musonda Mwansa"/>
    <n v="71"/>
    <x v="1"/>
    <x v="4"/>
    <x v="25"/>
    <x v="1"/>
    <d v="2023-02-23T00:00:00"/>
    <x v="1"/>
    <s v="Community Health Worker"/>
    <s v="Positive"/>
    <x v="1"/>
    <x v="1"/>
  </r>
  <r>
    <s v="ZMB-042"/>
    <s v="Mulenga Kabamba"/>
    <n v="22"/>
    <x v="0"/>
    <x v="4"/>
    <x v="6"/>
    <x v="6"/>
    <d v="2023-07-12T00:00:00"/>
    <x v="2"/>
    <s v="Self-Referral"/>
    <s v="Negative"/>
    <x v="1"/>
    <x v="1"/>
  </r>
  <r>
    <s v="ZMB-043"/>
    <s v="Yvonne Mulenga"/>
    <n v="31"/>
    <x v="1"/>
    <x v="6"/>
    <x v="20"/>
    <x v="0"/>
    <d v="2023-07-16T00:00:00"/>
    <x v="0"/>
    <s v="Community Health Worker"/>
    <s v="Positive"/>
    <x v="1"/>
    <x v="1"/>
  </r>
  <r>
    <s v="ZMB-044"/>
    <s v="Chileshe Kafwembe"/>
    <n v="74"/>
    <x v="0"/>
    <x v="1"/>
    <x v="26"/>
    <x v="4"/>
    <d v="2023-07-16T00:00:00"/>
    <x v="0"/>
    <s v="Community Health Worker"/>
    <s v="Negative"/>
    <x v="3"/>
    <x v="2"/>
  </r>
  <r>
    <s v="ZMB-045"/>
    <s v="Chilufya Zombe"/>
    <n v="26"/>
    <x v="1"/>
    <x v="9"/>
    <x v="23"/>
    <x v="5"/>
    <d v="2023-10-19T00:00:00"/>
    <x v="2"/>
    <s v="Community Health Worker"/>
    <s v="Positive"/>
    <x v="1"/>
    <x v="0"/>
  </r>
  <r>
    <s v="ZMB-046"/>
    <s v="Lubuto Mbewe"/>
    <s v="N/A"/>
    <x v="1"/>
    <x v="3"/>
    <x v="27"/>
    <x v="4"/>
    <d v="2023-09-07T00:00:00"/>
    <x v="0"/>
    <s v="Self-Referral"/>
    <s v="Positive"/>
    <x v="1"/>
    <x v="2"/>
  </r>
  <r>
    <s v="ZMB-047"/>
    <s v="Yvonne Banda"/>
    <n v="49"/>
    <x v="0"/>
    <x v="2"/>
    <x v="3"/>
    <x v="1"/>
    <d v="2023-07-04T00:00:00"/>
    <x v="3"/>
    <s v="Community Health Worker"/>
    <s v="Negative"/>
    <x v="1"/>
    <x v="0"/>
  </r>
  <r>
    <s v="ZMB-048"/>
    <s v="Charity Kabwe"/>
    <n v="77"/>
    <x v="0"/>
    <x v="1"/>
    <x v="1"/>
    <x v="2"/>
    <d v="2023-03-20T00:00:00"/>
    <x v="1"/>
    <s v="Self-Referral"/>
    <s v="Positive"/>
    <x v="1"/>
    <x v="0"/>
  </r>
  <r>
    <s v="ZMB-049"/>
    <s v="Chikonde Mwale"/>
    <n v="78"/>
    <x v="1"/>
    <x v="6"/>
    <x v="24"/>
    <x v="0"/>
    <d v="2023-10-23T00:00:00"/>
    <x v="2"/>
    <s v="NGO Outreach"/>
    <s v="Negative"/>
    <x v="1"/>
    <x v="2"/>
  </r>
  <r>
    <s v="ZMB-050"/>
    <s v="Mapalo Zombe"/>
    <n v="77"/>
    <x v="0"/>
    <x v="3"/>
    <x v="27"/>
    <x v="2"/>
    <d v="2023-02-17T00:00:00"/>
    <x v="1"/>
    <s v="Self-Referral"/>
    <s v="Negative"/>
    <x v="1"/>
    <x v="1"/>
  </r>
  <r>
    <s v="ZMB-051"/>
    <s v="Nomsa Nkonde"/>
    <n v="63"/>
    <x v="0"/>
    <x v="6"/>
    <x v="24"/>
    <x v="1"/>
    <d v="2023-09-11T00:00:00"/>
    <x v="2"/>
    <s v="NGO Outreach"/>
    <s v="Positive"/>
    <x v="1"/>
    <x v="2"/>
  </r>
  <r>
    <s v="ZMB-052"/>
    <s v="Chikonde Mwansa"/>
    <n v="36"/>
    <x v="0"/>
    <x v="7"/>
    <x v="14"/>
    <x v="3"/>
    <d v="2023-08-19T00:00:00"/>
    <x v="0"/>
    <s v="Hospital Referral"/>
    <s v="Positive"/>
    <x v="1"/>
    <x v="1"/>
  </r>
  <r>
    <s v="ZMB-053"/>
    <s v="Mulenga Mbewe"/>
    <n v="50"/>
    <x v="1"/>
    <x v="3"/>
    <x v="28"/>
    <x v="0"/>
    <d v="2023-09-12T00:00:00"/>
    <x v="2"/>
    <s v="Community Health Worker"/>
    <s v="Positive"/>
    <x v="0"/>
    <x v="0"/>
  </r>
  <r>
    <s v="ZMB-054"/>
    <s v="Kelvin Siame"/>
    <n v="76"/>
    <x v="0"/>
    <x v="1"/>
    <x v="11"/>
    <x v="1"/>
    <d v="2023-03-01T00:00:00"/>
    <x v="1"/>
    <s v="Community Health Worker"/>
    <s v="Positive"/>
    <x v="1"/>
    <x v="2"/>
  </r>
  <r>
    <s v="ZMB-056"/>
    <s v="Chisomo Mwansa"/>
    <n v="29"/>
    <x v="1"/>
    <x v="2"/>
    <x v="29"/>
    <x v="3"/>
    <d v="2023-04-24T00:00:00"/>
    <x v="3"/>
    <s v="NGO Outreach"/>
    <s v="Negative"/>
    <x v="3"/>
    <x v="2"/>
  </r>
  <r>
    <s v="ZMB-057"/>
    <s v="Mapalo Sakala"/>
    <n v="29"/>
    <x v="1"/>
    <x v="4"/>
    <x v="25"/>
    <x v="6"/>
    <d v="2023-01-05T00:00:00"/>
    <x v="3"/>
    <s v="Hospital Referral"/>
    <s v="Negative"/>
    <x v="1"/>
    <x v="0"/>
  </r>
  <r>
    <s v="ZMB-058"/>
    <s v="Benson Sakala"/>
    <n v="21"/>
    <x v="1"/>
    <x v="2"/>
    <x v="3"/>
    <x v="0"/>
    <d v="2023-05-16T00:00:00"/>
    <x v="3"/>
    <s v="NGO Outreach"/>
    <s v="Positive"/>
    <x v="3"/>
    <x v="0"/>
  </r>
  <r>
    <s v="ZMB-059"/>
    <s v="John Mwansa"/>
    <n v="66"/>
    <x v="0"/>
    <x v="2"/>
    <x v="30"/>
    <x v="1"/>
    <d v="2023-02-19T00:00:00"/>
    <x v="1"/>
    <s v="Community Health Worker"/>
    <s v="Positive"/>
    <x v="1"/>
    <x v="2"/>
  </r>
  <r>
    <s v="ZMB-060"/>
    <s v="Chisomo Phiri"/>
    <n v="20"/>
    <x v="1"/>
    <x v="5"/>
    <x v="31"/>
    <x v="1"/>
    <d v="2023-07-15T00:00:00"/>
    <x v="0"/>
    <s v="NGO Outreach"/>
    <s v="Negative"/>
    <x v="3"/>
    <x v="1"/>
  </r>
  <r>
    <s v="ZMB-061"/>
    <s v="Chisomo Musonda"/>
    <n v="17"/>
    <x v="0"/>
    <x v="4"/>
    <x v="25"/>
    <x v="0"/>
    <d v="2023-08-03T00:00:00"/>
    <x v="1"/>
    <s v="Hospital Referral"/>
    <s v="Positive"/>
    <x v="3"/>
    <x v="0"/>
  </r>
  <r>
    <s v="ZMB-062"/>
    <s v="Chanda Nkonde"/>
    <n v="81"/>
    <x v="1"/>
    <x v="7"/>
    <x v="21"/>
    <x v="3"/>
    <d v="2023-05-23T00:00:00"/>
    <x v="3"/>
    <s v="Community Health Worker"/>
    <s v="Positive"/>
    <x v="3"/>
    <x v="2"/>
  </r>
  <r>
    <s v="ZMB-063"/>
    <s v="Luyando Mwansa"/>
    <n v="80"/>
    <x v="0"/>
    <x v="6"/>
    <x v="20"/>
    <x v="1"/>
    <d v="2023-04-21T00:00:00"/>
    <x v="3"/>
    <s v="Hospital Referral"/>
    <s v="Negative"/>
    <x v="1"/>
    <x v="0"/>
  </r>
  <r>
    <s v="ZMB-064"/>
    <s v="John Mbewe"/>
    <n v="81"/>
    <x v="1"/>
    <x v="1"/>
    <x v="32"/>
    <x v="1"/>
    <d v="2023-10-12T00:00:00"/>
    <x v="2"/>
    <s v="Hospital Referral"/>
    <s v="Negative"/>
    <x v="2"/>
    <x v="2"/>
  </r>
  <r>
    <s v="ZMB-065"/>
    <s v="Chipo Mulenga"/>
    <n v="83"/>
    <x v="1"/>
    <x v="8"/>
    <x v="13"/>
    <x v="3"/>
    <d v="2023-11-27T00:00:00"/>
    <x v="2"/>
    <s v="Community Health Worker"/>
    <s v="Negative"/>
    <x v="3"/>
    <x v="0"/>
  </r>
  <r>
    <s v="ZMB-066"/>
    <s v="Kunda Mwangi"/>
    <n v="71"/>
    <x v="1"/>
    <x v="7"/>
    <x v="10"/>
    <x v="0"/>
    <d v="2023-07-21T00:00:00"/>
    <x v="0"/>
    <s v="NGO Outreach"/>
    <s v="Negative"/>
    <x v="1"/>
    <x v="1"/>
  </r>
  <r>
    <s v="ZMB-067"/>
    <s v="Chileshe Mutale"/>
    <n v="18"/>
    <x v="0"/>
    <x v="3"/>
    <x v="27"/>
    <x v="1"/>
    <d v="2023-05-22T00:00:00"/>
    <x v="3"/>
    <s v="Hospital Referral"/>
    <s v="Positive"/>
    <x v="1"/>
    <x v="1"/>
  </r>
  <r>
    <s v="ZMB-068"/>
    <s v="Peter Mutale"/>
    <n v="19"/>
    <x v="1"/>
    <x v="0"/>
    <x v="0"/>
    <x v="1"/>
    <d v="2023-08-14T00:00:00"/>
    <x v="0"/>
    <s v="Community Health Worker"/>
    <s v="Positive"/>
    <x v="2"/>
    <x v="1"/>
  </r>
  <r>
    <s v="ZMB-069"/>
    <s v="Kondwani Mwangi"/>
    <n v="61"/>
    <x v="0"/>
    <x v="4"/>
    <x v="25"/>
    <x v="1"/>
    <d v="2023-10-03T00:00:00"/>
    <x v="1"/>
    <s v="NGO Outreach"/>
    <s v="Positive"/>
    <x v="3"/>
    <x v="0"/>
  </r>
  <r>
    <s v="ZMB-070"/>
    <s v="Musonda Kapembwa"/>
    <n v="25"/>
    <x v="1"/>
    <x v="0"/>
    <x v="0"/>
    <x v="1"/>
    <d v="2023-03-07T00:00:00"/>
    <x v="0"/>
    <s v="NGO Outreach"/>
    <s v="Negative"/>
    <x v="1"/>
    <x v="0"/>
  </r>
  <r>
    <s v="ZMB-071"/>
    <s v="Taonga Mfune"/>
    <n v="42"/>
    <x v="1"/>
    <x v="6"/>
    <x v="8"/>
    <x v="1"/>
    <d v="2023-04-15T00:00:00"/>
    <x v="3"/>
    <s v="Hospital Referral"/>
    <s v="Negative"/>
    <x v="0"/>
    <x v="2"/>
  </r>
  <r>
    <s v="ZMB-072"/>
    <s v="Kampamba Siame"/>
    <n v="13"/>
    <x v="1"/>
    <x v="6"/>
    <x v="33"/>
    <x v="1"/>
    <d v="2023-05-27T00:00:00"/>
    <x v="3"/>
    <s v="Community Health Worker"/>
    <s v="Negative"/>
    <x v="1"/>
    <x v="2"/>
  </r>
  <r>
    <s v="ZMB-073"/>
    <s v="Chikonde Nsofu"/>
    <n v="24"/>
    <x v="1"/>
    <x v="0"/>
    <x v="15"/>
    <x v="2"/>
    <d v="2023-06-18T00:00:00"/>
    <x v="3"/>
    <s v="Hospital Referral"/>
    <s v="Positive"/>
    <x v="3"/>
    <x v="0"/>
  </r>
  <r>
    <s v="ZMB-074"/>
    <s v="Mwamba Lungu"/>
    <n v="34"/>
    <x v="1"/>
    <x v="8"/>
    <x v="18"/>
    <x v="1"/>
    <d v="2023-12-26T00:00:00"/>
    <x v="2"/>
    <s v="Hospital Referral"/>
    <s v="Negative"/>
    <x v="1"/>
    <x v="1"/>
  </r>
  <r>
    <s v="ZMB-075"/>
    <s v="Grace Zulu"/>
    <n v="80"/>
    <x v="1"/>
    <x v="2"/>
    <x v="30"/>
    <x v="0"/>
    <d v="2023-09-15T00:00:00"/>
    <x v="0"/>
    <s v="Community Health Worker"/>
    <s v="Positive"/>
    <x v="1"/>
    <x v="2"/>
  </r>
  <r>
    <s v="ZMB-076"/>
    <s v="James Phiri"/>
    <n v="38"/>
    <x v="1"/>
    <x v="5"/>
    <x v="7"/>
    <x v="0"/>
    <d v="2023-06-28T00:00:00"/>
    <x v="3"/>
    <s v="Hospital Referral"/>
    <s v="Positive"/>
    <x v="1"/>
    <x v="2"/>
  </r>
  <r>
    <s v="ZMB-077"/>
    <s v="Grace Kapembwa"/>
    <n v="10"/>
    <x v="1"/>
    <x v="2"/>
    <x v="3"/>
    <x v="1"/>
    <d v="2023-03-23T00:00:00"/>
    <x v="1"/>
    <s v="Community Health Worker"/>
    <s v="Positive"/>
    <x v="1"/>
    <x v="1"/>
  </r>
  <r>
    <s v="ZMB-078"/>
    <s v="John Sakala"/>
    <n v="60"/>
    <x v="0"/>
    <x v="4"/>
    <x v="6"/>
    <x v="0"/>
    <d v="2023-11-26T00:00:00"/>
    <x v="2"/>
    <s v="Hospital Referral"/>
    <s v="Positive"/>
    <x v="1"/>
    <x v="0"/>
  </r>
  <r>
    <s v="ZMB-079"/>
    <s v="Kondwani Chishala"/>
    <n v="35"/>
    <x v="1"/>
    <x v="5"/>
    <x v="31"/>
    <x v="3"/>
    <d v="2023-08-21T00:00:00"/>
    <x v="0"/>
    <s v="Community Health Worker"/>
    <s v="Positive"/>
    <x v="1"/>
    <x v="2"/>
  </r>
  <r>
    <s v="ZMB-080"/>
    <s v="Chanda Kabamba"/>
    <n v="41"/>
    <x v="0"/>
    <x v="2"/>
    <x v="30"/>
    <x v="2"/>
    <d v="2023-10-10T00:00:00"/>
    <x v="2"/>
    <s v="Hospital Referral"/>
    <s v="Negative"/>
    <x v="1"/>
    <x v="1"/>
  </r>
  <r>
    <s v="ZMB-081"/>
    <s v="Towela Chanda"/>
    <n v="18"/>
    <x v="0"/>
    <x v="6"/>
    <x v="33"/>
    <x v="0"/>
    <d v="2023-05-23T00:00:00"/>
    <x v="3"/>
    <s v="Community Health Worker"/>
    <s v="Positive"/>
    <x v="1"/>
    <x v="1"/>
  </r>
  <r>
    <s v="ZMB-082"/>
    <s v="Chanda Musonda"/>
    <n v="11"/>
    <x v="1"/>
    <x v="7"/>
    <x v="10"/>
    <x v="0"/>
    <d v="2023-08-06T00:00:00"/>
    <x v="3"/>
    <s v="NGO Outreach"/>
    <s v="Negative"/>
    <x v="1"/>
    <x v="2"/>
  </r>
  <r>
    <s v="ZMB-083"/>
    <s v="Kunda Siame"/>
    <n v="22"/>
    <x v="0"/>
    <x v="8"/>
    <x v="18"/>
    <x v="1"/>
    <d v="2023-01-19T00:00:00"/>
    <x v="1"/>
    <s v="Self-Referral"/>
    <s v="Positive"/>
    <x v="3"/>
    <x v="1"/>
  </r>
  <r>
    <s v="ZMB-084"/>
    <s v="Mulenga Siame"/>
    <n v="30"/>
    <x v="0"/>
    <x v="0"/>
    <x v="17"/>
    <x v="1"/>
    <d v="2023-09-09T00:00:00"/>
    <x v="0"/>
    <s v="Hospital Referral"/>
    <s v="Negative"/>
    <x v="1"/>
    <x v="1"/>
  </r>
  <r>
    <s v="ZMB-085"/>
    <s v="Wiza Chishala"/>
    <n v="19"/>
    <x v="1"/>
    <x v="2"/>
    <x v="29"/>
    <x v="3"/>
    <d v="2023-11-24T00:00:00"/>
    <x v="2"/>
    <s v="Hospital Referral"/>
    <s v="Positive"/>
    <x v="3"/>
    <x v="0"/>
  </r>
  <r>
    <s v="ZMB-086"/>
    <s v="Monde Mwale"/>
    <n v="20"/>
    <x v="1"/>
    <x v="3"/>
    <x v="28"/>
    <x v="0"/>
    <d v="2023-07-27T00:00:00"/>
    <x v="0"/>
    <s v="Self-Referral"/>
    <s v="Negative"/>
    <x v="0"/>
    <x v="1"/>
  </r>
  <r>
    <s v="ZMB-087"/>
    <s v="Mutale Kapembwa"/>
    <n v="76"/>
    <x v="1"/>
    <x v="5"/>
    <x v="31"/>
    <x v="0"/>
    <d v="2023-11-27T00:00:00"/>
    <x v="2"/>
    <s v="NGO Outreach"/>
    <s v="Negative"/>
    <x v="1"/>
    <x v="0"/>
  </r>
  <r>
    <s v="ZMB-088"/>
    <s v="Charity Banda"/>
    <n v="43"/>
    <x v="1"/>
    <x v="2"/>
    <x v="3"/>
    <x v="3"/>
    <d v="2023-05-09T00:00:00"/>
    <x v="0"/>
    <s v="Hospital Referral"/>
    <s v="Positive"/>
    <x v="3"/>
    <x v="2"/>
  </r>
  <r>
    <s v="ZMB-089"/>
    <s v="Wiza Chipoka"/>
    <n v="58"/>
    <x v="0"/>
    <x v="6"/>
    <x v="20"/>
    <x v="1"/>
    <d v="2023-10-14T00:00:00"/>
    <x v="2"/>
    <s v="Community Health Worker"/>
    <s v="Positive"/>
    <x v="3"/>
    <x v="0"/>
  </r>
  <r>
    <s v="ZMB-090"/>
    <s v="Temwani Mulenga"/>
    <n v="51"/>
    <x v="0"/>
    <x v="3"/>
    <x v="28"/>
    <x v="1"/>
    <d v="2023-09-07T00:00:00"/>
    <x v="0"/>
    <s v="NGO Outreach"/>
    <s v="Negative"/>
    <x v="1"/>
    <x v="0"/>
  </r>
  <r>
    <s v="ZMB-091"/>
    <s v="Felicity Daka"/>
    <n v="81"/>
    <x v="0"/>
    <x v="8"/>
    <x v="18"/>
    <x v="3"/>
    <d v="2023-03-26T00:00:00"/>
    <x v="1"/>
    <s v="NGO Outreach"/>
    <s v="Negative"/>
    <x v="2"/>
    <x v="0"/>
  </r>
  <r>
    <s v="ZMB-092"/>
    <s v="Chikonde Daka"/>
    <n v="34"/>
    <x v="1"/>
    <x v="9"/>
    <x v="23"/>
    <x v="4"/>
    <d v="2023-05-03T00:00:00"/>
    <x v="1"/>
    <s v="Community Health Worker"/>
    <s v="Positive"/>
    <x v="3"/>
    <x v="2"/>
  </r>
  <r>
    <s v="ZMB-093"/>
    <s v="Mutale Zulu"/>
    <n v="8"/>
    <x v="0"/>
    <x v="7"/>
    <x v="21"/>
    <x v="6"/>
    <d v="2023-12-14T00:00:00"/>
    <x v="2"/>
    <s v="Self-Referral"/>
    <s v="Negative"/>
    <x v="1"/>
    <x v="1"/>
  </r>
  <r>
    <s v="ZMB-094"/>
    <s v="Chola Mumba"/>
    <n v="18"/>
    <x v="1"/>
    <x v="0"/>
    <x v="5"/>
    <x v="0"/>
    <d v="2023-01-24T00:00:00"/>
    <x v="1"/>
    <s v="Community Health Worker"/>
    <s v="Positive"/>
    <x v="1"/>
    <x v="0"/>
  </r>
  <r>
    <s v="ZMB-095"/>
    <s v="Nakonde Chishala"/>
    <n v="18"/>
    <x v="1"/>
    <x v="1"/>
    <x v="32"/>
    <x v="0"/>
    <d v="2023-06-20T00:00:00"/>
    <x v="3"/>
    <s v="Hospital Referral"/>
    <s v="Negative"/>
    <x v="1"/>
    <x v="1"/>
  </r>
  <r>
    <s v="ZMB-096"/>
    <s v="Kondwani Bwalya"/>
    <n v="46"/>
    <x v="1"/>
    <x v="5"/>
    <x v="34"/>
    <x v="1"/>
    <d v="2023-09-20T00:00:00"/>
    <x v="0"/>
    <s v="Hospital Referral"/>
    <s v="Negative"/>
    <x v="3"/>
    <x v="2"/>
  </r>
  <r>
    <s v="ZMB-097"/>
    <s v="Taonga Kabamba"/>
    <n v="32"/>
    <x v="1"/>
    <x v="1"/>
    <x v="26"/>
    <x v="5"/>
    <d v="2023-06-27T00:00:00"/>
    <x v="3"/>
    <s v="NGO Outreach"/>
    <s v="Negative"/>
    <x v="1"/>
    <x v="2"/>
  </r>
  <r>
    <s v="ZMB-098"/>
    <s v="Nomsa Mutale"/>
    <n v="37"/>
    <x v="1"/>
    <x v="9"/>
    <x v="35"/>
    <x v="0"/>
    <d v="2023-02-27T00:00:00"/>
    <x v="1"/>
    <s v="Self-Referral"/>
    <s v="Negative"/>
    <x v="1"/>
    <x v="0"/>
  </r>
  <r>
    <s v="ZMB-099"/>
    <s v="Wiza Siame"/>
    <n v="21"/>
    <x v="0"/>
    <x v="5"/>
    <x v="34"/>
    <x v="0"/>
    <d v="2023-12-07T00:00:00"/>
    <x v="0"/>
    <s v="Hospital Referral"/>
    <s v="Positive"/>
    <x v="1"/>
    <x v="2"/>
  </r>
  <r>
    <s v="ZMB-100"/>
    <s v="Chisomo Mumba"/>
    <n v="69"/>
    <x v="0"/>
    <x v="9"/>
    <x v="35"/>
    <x v="3"/>
    <d v="2023-12-02T00:00:00"/>
    <x v="1"/>
    <s v="Self-Referral"/>
    <s v="Negative"/>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EE2CD1-A7D1-4934-9718-5DDC865DDFFC}" name="PivotTable7"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67:B70" firstHeaderRow="1" firstDataRow="1" firstDataCol="1"/>
  <pivotFields count="13">
    <pivotField showAll="0"/>
    <pivotField showAll="0"/>
    <pivotField showAll="0"/>
    <pivotField showAll="0">
      <items count="3">
        <item x="1"/>
        <item x="0"/>
        <item t="default"/>
      </items>
    </pivotField>
    <pivotField showAll="0">
      <items count="11">
        <item x="1"/>
        <item x="2"/>
        <item x="4"/>
        <item x="5"/>
        <item x="8"/>
        <item x="6"/>
        <item x="7"/>
        <item x="0"/>
        <item x="9"/>
        <item x="3"/>
        <item t="default"/>
      </items>
    </pivotField>
    <pivotField showAll="0"/>
    <pivotField showAll="0"/>
    <pivotField numFmtId="166" showAll="0"/>
    <pivotField showAll="0"/>
    <pivotField showAll="0"/>
    <pivotField showAll="0"/>
    <pivotField showAll="0"/>
    <pivotField axis="axisRow" dataField="1" showAll="0">
      <items count="4">
        <item x="2"/>
        <item x="1"/>
        <item x="0"/>
        <item t="default"/>
      </items>
    </pivotField>
  </pivotFields>
  <rowFields count="1">
    <field x="12"/>
  </rowFields>
  <rowItems count="3">
    <i>
      <x/>
    </i>
    <i>
      <x v="1"/>
    </i>
    <i>
      <x v="2"/>
    </i>
  </rowItems>
  <colItems count="1">
    <i/>
  </colItems>
  <dataFields count="1">
    <dataField name="Count of Follow_Up" fld="12" subtotal="count" showDataAs="percentOfTotal" baseField="0" baseItem="0" numFmtId="167"/>
  </dataFields>
  <formats count="1">
    <format dxfId="1">
      <pivotArea outline="0" collapsedLevelsAreSubtotals="1" fieldPosition="0"/>
    </format>
  </formats>
  <chartFormats count="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2" count="1" selected="0">
            <x v="1"/>
          </reference>
        </references>
      </pivotArea>
    </chartFormat>
    <chartFormat chart="8" format="2">
      <pivotArea type="data" outline="0" fieldPosition="0">
        <references count="2">
          <reference field="4294967294" count="1" selected="0">
            <x v="0"/>
          </reference>
          <reference field="12" count="1" selected="0">
            <x v="2"/>
          </reference>
        </references>
      </pivotArea>
    </chartFormat>
    <chartFormat chart="8" format="3">
      <pivotArea type="data" outline="0" fieldPosition="0">
        <references count="2">
          <reference field="4294967294" count="1" selected="0">
            <x v="0"/>
          </reference>
          <reference field="12"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2" count="1" selected="0">
            <x v="0"/>
          </reference>
        </references>
      </pivotArea>
    </chartFormat>
    <chartFormat chart="12" format="10">
      <pivotArea type="data" outline="0" fieldPosition="0">
        <references count="2">
          <reference field="4294967294" count="1" selected="0">
            <x v="0"/>
          </reference>
          <reference field="12" count="1" selected="0">
            <x v="1"/>
          </reference>
        </references>
      </pivotArea>
    </chartFormat>
    <chartFormat chart="12"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FAAB18-B458-4870-B521-B76F1EBB48B5}" name="PivotTable4"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53:H56" firstHeaderRow="1" firstDataRow="2" firstDataCol="1"/>
  <pivotFields count="13">
    <pivotField showAll="0"/>
    <pivotField showAll="0"/>
    <pivotField showAll="0"/>
    <pivotField axis="axisRow" showAll="0">
      <items count="3">
        <item x="1"/>
        <item x="0"/>
        <item t="default"/>
      </items>
    </pivotField>
    <pivotField showAll="0">
      <items count="11">
        <item x="1"/>
        <item x="2"/>
        <item x="4"/>
        <item x="5"/>
        <item x="8"/>
        <item x="6"/>
        <item x="7"/>
        <item x="0"/>
        <item x="9"/>
        <item x="3"/>
        <item t="default"/>
      </items>
    </pivotField>
    <pivotField showAll="0"/>
    <pivotField axis="axisCol" dataField="1" showAll="0">
      <items count="8">
        <item x="6"/>
        <item x="3"/>
        <item x="1"/>
        <item x="2"/>
        <item x="4"/>
        <item x="0"/>
        <item x="5"/>
        <item t="default"/>
      </items>
    </pivotField>
    <pivotField numFmtId="166" showAll="0"/>
    <pivotField showAll="0"/>
    <pivotField showAll="0"/>
    <pivotField showAll="0"/>
    <pivotField showAll="0"/>
    <pivotField showAll="0"/>
  </pivotFields>
  <rowFields count="1">
    <field x="3"/>
  </rowFields>
  <rowItems count="2">
    <i>
      <x/>
    </i>
    <i>
      <x v="1"/>
    </i>
  </rowItems>
  <colFields count="1">
    <field x="6"/>
  </colFields>
  <colItems count="7">
    <i>
      <x/>
    </i>
    <i>
      <x v="1"/>
    </i>
    <i>
      <x v="2"/>
    </i>
    <i>
      <x v="3"/>
    </i>
    <i>
      <x v="4"/>
    </i>
    <i>
      <x v="5"/>
    </i>
    <i>
      <x v="6"/>
    </i>
  </colItems>
  <dataFields count="1">
    <dataField name="Count of Diseas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32F6C3-74A8-4ED8-B8C7-ADA00F2827B4}"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7:B42" firstHeaderRow="1" firstDataRow="1" firstDataCol="1"/>
  <pivotFields count="13">
    <pivotField showAll="0"/>
    <pivotField showAll="0"/>
    <pivotField showAll="0"/>
    <pivotField showAll="0">
      <items count="3">
        <item x="1"/>
        <item x="0"/>
        <item t="default"/>
      </items>
    </pivotField>
    <pivotField showAll="0">
      <items count="11">
        <item x="1"/>
        <item x="2"/>
        <item x="4"/>
        <item x="5"/>
        <item x="8"/>
        <item x="6"/>
        <item x="7"/>
        <item x="0"/>
        <item x="9"/>
        <item x="3"/>
        <item t="default"/>
      </items>
    </pivotField>
    <pivotField showAll="0"/>
    <pivotField showAll="0"/>
    <pivotField numFmtId="166" showAll="0"/>
    <pivotField showAll="0"/>
    <pivotField showAll="0"/>
    <pivotField showAll="0"/>
    <pivotField axis="axisRow" dataField="1" showAll="0">
      <items count="5">
        <item x="0"/>
        <item x="1"/>
        <item x="2"/>
        <item x="3"/>
        <item t="default"/>
      </items>
    </pivotField>
    <pivotField showAll="0"/>
  </pivotFields>
  <rowFields count="1">
    <field x="11"/>
  </rowFields>
  <rowItems count="5">
    <i>
      <x/>
    </i>
    <i>
      <x v="1"/>
    </i>
    <i>
      <x v="2"/>
    </i>
    <i>
      <x v="3"/>
    </i>
    <i t="grand">
      <x/>
    </i>
  </rowItems>
  <colItems count="1">
    <i/>
  </colItems>
  <dataFields count="1">
    <dataField name="Count of Outcome" fld="11" subtotal="count" showDataAs="percentOfTotal" baseField="0" baseItem="0" numFmtId="1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D26436-82E5-497C-BCF3-3B8E2145F18E}"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1:B26" firstHeaderRow="1" firstDataRow="1" firstDataCol="1"/>
  <pivotFields count="13">
    <pivotField showAll="0"/>
    <pivotField showAll="0"/>
    <pivotField showAll="0"/>
    <pivotField showAll="0">
      <items count="3">
        <item x="1"/>
        <item x="0"/>
        <item t="default"/>
      </items>
    </pivotField>
    <pivotField showAll="0" sortType="descending">
      <items count="11">
        <item x="1"/>
        <item x="2"/>
        <item x="4"/>
        <item x="5"/>
        <item x="8"/>
        <item x="6"/>
        <item x="7"/>
        <item x="0"/>
        <item x="9"/>
        <item x="3"/>
        <item t="default"/>
      </items>
      <autoSortScope>
        <pivotArea dataOnly="0" outline="0" fieldPosition="0">
          <references count="1">
            <reference field="4294967294" count="1" selected="0">
              <x v="0"/>
            </reference>
          </references>
        </pivotArea>
      </autoSortScope>
    </pivotField>
    <pivotField showAll="0"/>
    <pivotField dataField="1" showAll="0"/>
    <pivotField numFmtId="166" showAll="0"/>
    <pivotField axis="axisRow" showAll="0">
      <items count="5">
        <item x="1"/>
        <item x="3"/>
        <item x="0"/>
        <item x="2"/>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Disease" fld="6" subtotal="count" baseField="0" baseItem="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CFF9A1-102D-446F-A942-9EA64306A46B}"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3">
    <pivotField showAll="0"/>
    <pivotField showAll="0"/>
    <pivotField showAll="0"/>
    <pivotField showAll="0">
      <items count="3">
        <item x="1"/>
        <item x="0"/>
        <item t="default"/>
      </items>
    </pivotField>
    <pivotField axis="axisRow" showAll="0" sortType="descending">
      <items count="11">
        <item x="1"/>
        <item x="2"/>
        <item x="4"/>
        <item x="5"/>
        <item x="8"/>
        <item x="6"/>
        <item x="7"/>
        <item x="0"/>
        <item x="9"/>
        <item x="3"/>
        <item t="default"/>
      </items>
      <autoSortScope>
        <pivotArea dataOnly="0" outline="0" fieldPosition="0">
          <references count="1">
            <reference field="4294967294" count="1" selected="0">
              <x v="0"/>
            </reference>
          </references>
        </pivotArea>
      </autoSortScope>
    </pivotField>
    <pivotField showAll="0">
      <items count="37">
        <item x="17"/>
        <item x="2"/>
        <item x="20"/>
        <item x="18"/>
        <item x="24"/>
        <item x="32"/>
        <item x="12"/>
        <item x="28"/>
        <item x="1"/>
        <item x="21"/>
        <item x="25"/>
        <item x="7"/>
        <item x="29"/>
        <item x="23"/>
        <item x="22"/>
        <item x="27"/>
        <item x="6"/>
        <item x="13"/>
        <item x="16"/>
        <item x="35"/>
        <item x="10"/>
        <item x="11"/>
        <item x="9"/>
        <item x="8"/>
        <item x="14"/>
        <item x="30"/>
        <item x="5"/>
        <item x="33"/>
        <item x="31"/>
        <item x="3"/>
        <item x="19"/>
        <item x="34"/>
        <item x="4"/>
        <item x="26"/>
        <item x="0"/>
        <item x="15"/>
        <item t="default"/>
      </items>
    </pivotField>
    <pivotField dataField="1" showAll="0"/>
    <pivotField numFmtId="166" showAll="0"/>
    <pivotField showAll="0"/>
    <pivotField showAll="0"/>
    <pivotField showAll="0"/>
    <pivotField showAll="0"/>
    <pivotField showAll="0"/>
  </pivotFields>
  <rowFields count="1">
    <field x="4"/>
  </rowFields>
  <rowItems count="11">
    <i>
      <x v="7"/>
    </i>
    <i>
      <x v="5"/>
    </i>
    <i>
      <x v="1"/>
    </i>
    <i>
      <x v="4"/>
    </i>
    <i>
      <x/>
    </i>
    <i>
      <x v="3"/>
    </i>
    <i>
      <x v="6"/>
    </i>
    <i>
      <x v="9"/>
    </i>
    <i>
      <x v="2"/>
    </i>
    <i>
      <x v="8"/>
    </i>
    <i t="grand">
      <x/>
    </i>
  </rowItems>
  <colItems count="1">
    <i/>
  </colItems>
  <dataFields count="1">
    <dataField name="Count of Disease" fld="6"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55BC2D-CDDF-4DC2-BB60-553259CF3A59}"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13">
    <pivotField showAll="0"/>
    <pivotField showAll="0"/>
    <pivotField showAll="0"/>
    <pivotField showAll="0">
      <items count="3">
        <item x="1"/>
        <item x="0"/>
        <item t="default"/>
      </items>
    </pivotField>
    <pivotField showAll="0"/>
    <pivotField showAll="0"/>
    <pivotField axis="axisRow" dataField="1" showAll="0">
      <items count="8">
        <item x="6"/>
        <item x="3"/>
        <item x="1"/>
        <item x="2"/>
        <item x="4"/>
        <item x="0"/>
        <item x="5"/>
        <item t="default"/>
      </items>
    </pivotField>
    <pivotField numFmtId="166" showAll="0"/>
    <pivotField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Count of Disease" fld="6" subtotal="count"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C1E65188-2158-4FAC-94CE-A9FBA873E586}" sourceName="Province">
  <pivotTables>
    <pivotTable tabId="4" name="PivotTable1"/>
    <pivotTable tabId="4" name="PivotTable2"/>
    <pivotTable tabId="4" name="PivotTable3"/>
    <pivotTable tabId="4" name="PivotTable4"/>
    <pivotTable tabId="4" name="PivotTable7"/>
  </pivotTables>
  <data>
    <tabular pivotCacheId="498003620">
      <items count="10">
        <i x="1" s="1"/>
        <i x="2" s="1"/>
        <i x="4" s="1"/>
        <i x="5" s="1"/>
        <i x="8" s="1"/>
        <i x="6" s="1"/>
        <i x="7" s="1"/>
        <i x="0" s="1"/>
        <i x="9"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C0970122-6446-4B21-9516-917D387BD6DF}" sourceName="District">
  <pivotTables>
    <pivotTable tabId="4" name="PivotTable1"/>
  </pivotTables>
  <data>
    <tabular pivotCacheId="498003620">
      <items count="36">
        <i x="17" s="1"/>
        <i x="2" s="1"/>
        <i x="20" s="1"/>
        <i x="18" s="1"/>
        <i x="24" s="1"/>
        <i x="32" s="1"/>
        <i x="12" s="1"/>
        <i x="28" s="1"/>
        <i x="1" s="1"/>
        <i x="21" s="1"/>
        <i x="25" s="1"/>
        <i x="7" s="1"/>
        <i x="29" s="1"/>
        <i x="23" s="1"/>
        <i x="22" s="1"/>
        <i x="27" s="1"/>
        <i x="6" s="1"/>
        <i x="13" s="1"/>
        <i x="16" s="1"/>
        <i x="35" s="1"/>
        <i x="10" s="1"/>
        <i x="11" s="1"/>
        <i x="9" s="1"/>
        <i x="8" s="1"/>
        <i x="14" s="1"/>
        <i x="30" s="1"/>
        <i x="5" s="1"/>
        <i x="33" s="1"/>
        <i x="31" s="1"/>
        <i x="3" s="1"/>
        <i x="19" s="1"/>
        <i x="34" s="1"/>
        <i x="4" s="1"/>
        <i x="26" s="1"/>
        <i x="0"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4862338-5C7A-46E3-9C52-92FD2B917A06}" sourceName="Gender">
  <pivotTables>
    <pivotTable tabId="4" name="PivotTable1"/>
    <pivotTable tabId="4" name="PivotTable2"/>
    <pivotTable tabId="4" name="PivotTable3"/>
    <pivotTable tabId="4" name="PivotTable4"/>
    <pivotTable tabId="4" name="PivotTable7"/>
    <pivotTable tabId="7" name="PivotTable8"/>
  </pivotTables>
  <data>
    <tabular pivotCacheId="49800362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xr10:uid="{7F13690A-44E6-4097-AAA0-EB0540CAAE25}" cache="Slicer_Province" caption="Province" rowHeight="241300"/>
  <slicer name="District" xr10:uid="{939BE428-A49D-4E3C-8989-58AF147A8499}" cache="Slicer_District" caption="District" rowHeight="241300"/>
  <slicer name="Gender" xr10:uid="{F7BC8FCD-19A6-421A-AC73-9CB25D1AE9F9}"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451802-4781-446D-9ED1-8C455E18469E}" name="PATIENT_INTAKE" displayName="PATIENT_INTAKE" ref="A4:M103" totalsRowShown="0" headerRowDxfId="6" dataDxfId="7" headerRowBorderDxfId="18" tableBorderDxfId="19" totalsRowBorderDxfId="17">
  <autoFilter ref="A4:M103" xr:uid="{51451802-4781-446D-9ED1-8C455E18469E}"/>
  <tableColumns count="13">
    <tableColumn id="1" xr3:uid="{C8482FE5-9268-4D75-9E8E-634310F1EB5C}" name="Patient_ID" dataDxfId="16"/>
    <tableColumn id="14" xr3:uid="{8FCCFF75-57A9-4E9C-9890-DCEACB57A157}" name="Full_Name" dataDxfId="5"/>
    <tableColumn id="3" xr3:uid="{3584D7E3-27A0-4CBC-8D0C-201CF676E708}" name="Age" dataDxfId="15"/>
    <tableColumn id="4" xr3:uid="{9FABF7F8-DBF7-4E1E-BA63-43D94570835C}" name="Gender" dataDxfId="14"/>
    <tableColumn id="5" xr3:uid="{B59C42EA-EE32-4DE9-A4D2-804B30D7633D}" name="Province" dataDxfId="13"/>
    <tableColumn id="6" xr3:uid="{3D1EDFC6-4475-4539-AB1A-0646C015420B}" name="District" dataDxfId="12"/>
    <tableColumn id="7" xr3:uid="{4BBB2CB2-BBDD-4C3B-8E4D-4DEE67F059F7}" name="Disease" dataDxfId="4"/>
    <tableColumn id="8" xr3:uid="{88357039-6915-46D8-821A-34E328E18275}" name="Visit_Date" dataDxfId="2"/>
    <tableColumn id="9" xr3:uid="{B887F260-D7C4-4D8F-B721-CD335D880992}" name="Visit_Quarter" dataDxfId="3"/>
    <tableColumn id="10" xr3:uid="{094517DE-41DF-49CF-AD7A-7A2B1B6C2213}" name="Referral_Source" dataDxfId="11"/>
    <tableColumn id="11" xr3:uid="{58422DD6-8293-4950-8452-61CE276A8FE7}" name="Test_Result" dataDxfId="10"/>
    <tableColumn id="12" xr3:uid="{0297419E-C3B2-4DB9-B241-A08156F139F7}" name="Outcome" dataDxfId="9"/>
    <tableColumn id="13" xr3:uid="{EC7E4B28-2525-4174-AF20-AE2585F0FA93}" name="Follow_Up" dataDxfId="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D7377"/>
  </sheetPr>
  <dimension ref="A1:B27"/>
  <sheetViews>
    <sheetView topLeftCell="A24" workbookViewId="0">
      <selection sqref="A1:B1"/>
    </sheetView>
  </sheetViews>
  <sheetFormatPr defaultRowHeight="15" x14ac:dyDescent="0.25"/>
  <cols>
    <col min="1" max="1" width="28" customWidth="1"/>
    <col min="2" max="2" width="72" customWidth="1"/>
  </cols>
  <sheetData>
    <row r="1" spans="1:2" ht="27.95" customHeight="1" x14ac:dyDescent="0.25">
      <c r="A1" s="14" t="s">
        <v>380</v>
      </c>
      <c r="B1" s="10"/>
    </row>
    <row r="2" spans="1:2" ht="8.1" customHeight="1" x14ac:dyDescent="0.25"/>
    <row r="3" spans="1:2" ht="20.100000000000001" customHeight="1" x14ac:dyDescent="0.25">
      <c r="A3" s="5" t="s">
        <v>381</v>
      </c>
      <c r="B3" s="6" t="s">
        <v>0</v>
      </c>
    </row>
    <row r="4" spans="1:2" ht="20.100000000000001" customHeight="1" x14ac:dyDescent="0.25">
      <c r="A4" s="7" t="s">
        <v>382</v>
      </c>
      <c r="B4" s="8" t="s">
        <v>383</v>
      </c>
    </row>
    <row r="5" spans="1:2" ht="20.100000000000001" customHeight="1" x14ac:dyDescent="0.25">
      <c r="A5" s="5" t="s">
        <v>384</v>
      </c>
      <c r="B5" s="6" t="s">
        <v>385</v>
      </c>
    </row>
    <row r="6" spans="1:2" ht="20.100000000000001" customHeight="1" x14ac:dyDescent="0.25">
      <c r="A6" s="7" t="s">
        <v>386</v>
      </c>
      <c r="B6" s="8" t="s">
        <v>387</v>
      </c>
    </row>
    <row r="7" spans="1:2" ht="20.100000000000001" customHeight="1" x14ac:dyDescent="0.25">
      <c r="A7" s="5" t="s">
        <v>388</v>
      </c>
      <c r="B7" s="6" t="s">
        <v>389</v>
      </c>
    </row>
    <row r="8" spans="1:2" ht="20.100000000000001" customHeight="1" x14ac:dyDescent="0.25">
      <c r="A8" s="7" t="s">
        <v>390</v>
      </c>
      <c r="B8" s="8" t="s">
        <v>391</v>
      </c>
    </row>
    <row r="9" spans="1:2" ht="20.100000000000001" customHeight="1" x14ac:dyDescent="0.25">
      <c r="A9" s="5" t="s">
        <v>392</v>
      </c>
      <c r="B9" s="6" t="s">
        <v>393</v>
      </c>
    </row>
    <row r="10" spans="1:2" ht="20.100000000000001" customHeight="1" x14ac:dyDescent="0.25">
      <c r="A10" s="7" t="s">
        <v>394</v>
      </c>
      <c r="B10" s="8" t="s">
        <v>395</v>
      </c>
    </row>
    <row r="11" spans="1:2" ht="8.1" customHeight="1" x14ac:dyDescent="0.25"/>
    <row r="12" spans="1:2" ht="20.100000000000001" customHeight="1" x14ac:dyDescent="0.25">
      <c r="A12" s="12" t="s">
        <v>396</v>
      </c>
      <c r="B12" s="13"/>
    </row>
    <row r="13" spans="1:2" ht="20.100000000000001" customHeight="1" x14ac:dyDescent="0.25">
      <c r="A13" s="5" t="s">
        <v>397</v>
      </c>
      <c r="B13" s="6" t="s">
        <v>398</v>
      </c>
    </row>
    <row r="14" spans="1:2" ht="20.100000000000001" customHeight="1" x14ac:dyDescent="0.25">
      <c r="A14" s="7" t="s">
        <v>399</v>
      </c>
      <c r="B14" s="8" t="s">
        <v>400</v>
      </c>
    </row>
    <row r="15" spans="1:2" ht="20.100000000000001" customHeight="1" x14ac:dyDescent="0.25">
      <c r="A15" s="5" t="s">
        <v>401</v>
      </c>
      <c r="B15" s="6" t="s">
        <v>402</v>
      </c>
    </row>
    <row r="16" spans="1:2" ht="20.100000000000001" customHeight="1" x14ac:dyDescent="0.25">
      <c r="A16" s="7" t="s">
        <v>403</v>
      </c>
      <c r="B16" s="8" t="s">
        <v>404</v>
      </c>
    </row>
    <row r="17" spans="1:2" ht="20.100000000000001" customHeight="1" x14ac:dyDescent="0.25">
      <c r="A17" s="5" t="s">
        <v>405</v>
      </c>
      <c r="B17" s="6" t="s">
        <v>406</v>
      </c>
    </row>
    <row r="18" spans="1:2" ht="20.100000000000001" customHeight="1" x14ac:dyDescent="0.25">
      <c r="A18" s="7" t="s">
        <v>407</v>
      </c>
      <c r="B18" s="8" t="s">
        <v>408</v>
      </c>
    </row>
    <row r="19" spans="1:2" ht="8.1" customHeight="1" x14ac:dyDescent="0.25"/>
    <row r="20" spans="1:2" ht="20.100000000000001" customHeight="1" x14ac:dyDescent="0.25">
      <c r="A20" s="12" t="s">
        <v>409</v>
      </c>
      <c r="B20" s="13"/>
    </row>
    <row r="21" spans="1:2" ht="20.100000000000001" customHeight="1" x14ac:dyDescent="0.25">
      <c r="A21" s="5" t="s">
        <v>410</v>
      </c>
      <c r="B21" s="6" t="s">
        <v>411</v>
      </c>
    </row>
    <row r="22" spans="1:2" ht="20.100000000000001" customHeight="1" x14ac:dyDescent="0.25">
      <c r="A22" s="7" t="s">
        <v>412</v>
      </c>
      <c r="B22" s="8" t="s">
        <v>413</v>
      </c>
    </row>
    <row r="23" spans="1:2" ht="20.100000000000001" customHeight="1" x14ac:dyDescent="0.25">
      <c r="A23" s="5" t="s">
        <v>414</v>
      </c>
      <c r="B23" s="6" t="s">
        <v>415</v>
      </c>
    </row>
    <row r="24" spans="1:2" ht="20.100000000000001" customHeight="1" x14ac:dyDescent="0.25">
      <c r="A24" s="7" t="s">
        <v>416</v>
      </c>
      <c r="B24" s="8" t="s">
        <v>417</v>
      </c>
    </row>
    <row r="25" spans="1:2" ht="20.100000000000001" customHeight="1" x14ac:dyDescent="0.25">
      <c r="A25" s="5" t="s">
        <v>418</v>
      </c>
      <c r="B25" s="6" t="s">
        <v>419</v>
      </c>
    </row>
    <row r="26" spans="1:2" ht="20.100000000000001" customHeight="1" x14ac:dyDescent="0.25">
      <c r="A26" s="7" t="s">
        <v>420</v>
      </c>
      <c r="B26" s="8" t="s">
        <v>421</v>
      </c>
    </row>
    <row r="27" spans="1:2" ht="20.100000000000001" customHeight="1" x14ac:dyDescent="0.25">
      <c r="A27" s="5" t="s">
        <v>422</v>
      </c>
      <c r="B27" s="6" t="s">
        <v>423</v>
      </c>
    </row>
  </sheetData>
  <mergeCells count="3">
    <mergeCell ref="A20:B20"/>
    <mergeCell ref="A1:B1"/>
    <mergeCell ref="A12:B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392B"/>
  </sheetPr>
  <dimension ref="A1:M104"/>
  <sheetViews>
    <sheetView workbookViewId="0">
      <pane ySplit="4" topLeftCell="A5" activePane="bottomLeft" state="frozen"/>
      <selection pane="bottomLeft" sqref="A1:M1"/>
    </sheetView>
  </sheetViews>
  <sheetFormatPr defaultRowHeight="15" x14ac:dyDescent="0.25"/>
  <cols>
    <col min="1" max="1" width="10" customWidth="1"/>
    <col min="2" max="2" width="22" customWidth="1"/>
    <col min="3" max="3" width="6" customWidth="1"/>
    <col min="4" max="4" width="9" customWidth="1"/>
    <col min="5" max="6" width="14" customWidth="1"/>
    <col min="7" max="8" width="13" customWidth="1"/>
    <col min="9" max="9" width="10" customWidth="1"/>
    <col min="10" max="10" width="22" customWidth="1"/>
    <col min="11" max="11" width="12" customWidth="1"/>
    <col min="12" max="12" width="18" customWidth="1"/>
    <col min="13" max="13" width="11" customWidth="1"/>
  </cols>
  <sheetData>
    <row r="1" spans="1:13" ht="21.95" customHeight="1" x14ac:dyDescent="0.25">
      <c r="A1" s="11" t="s">
        <v>0</v>
      </c>
      <c r="B1" s="10"/>
      <c r="C1" s="10"/>
      <c r="D1" s="10"/>
      <c r="E1" s="10"/>
      <c r="F1" s="10"/>
      <c r="G1" s="10"/>
      <c r="H1" s="10"/>
      <c r="I1" s="10"/>
      <c r="J1" s="10"/>
      <c r="K1" s="10"/>
      <c r="L1" s="10"/>
      <c r="M1" s="10"/>
    </row>
    <row r="2" spans="1:13" ht="15.95" customHeight="1" x14ac:dyDescent="0.25">
      <c r="A2" s="9" t="s">
        <v>1</v>
      </c>
      <c r="B2" s="10"/>
      <c r="C2" s="10"/>
      <c r="D2" s="10"/>
      <c r="E2" s="10"/>
      <c r="F2" s="10"/>
      <c r="G2" s="10"/>
      <c r="H2" s="10"/>
      <c r="I2" s="10"/>
      <c r="J2" s="10"/>
      <c r="K2" s="10"/>
      <c r="L2" s="10"/>
      <c r="M2" s="10"/>
    </row>
    <row r="3" spans="1:13" ht="6" customHeight="1" x14ac:dyDescent="0.25"/>
    <row r="4" spans="1:13" ht="18" customHeight="1" x14ac:dyDescent="0.25">
      <c r="A4" s="1" t="s">
        <v>2</v>
      </c>
      <c r="B4" s="1" t="s">
        <v>3</v>
      </c>
      <c r="C4" s="1" t="s">
        <v>4</v>
      </c>
      <c r="D4" s="1" t="s">
        <v>5</v>
      </c>
      <c r="E4" s="1" t="s">
        <v>6</v>
      </c>
      <c r="F4" s="1" t="s">
        <v>7</v>
      </c>
      <c r="G4" s="1" t="s">
        <v>8</v>
      </c>
      <c r="H4" s="1" t="s">
        <v>9</v>
      </c>
      <c r="I4" s="1" t="s">
        <v>10</v>
      </c>
      <c r="J4" s="1" t="s">
        <v>11</v>
      </c>
      <c r="K4" s="1" t="s">
        <v>12</v>
      </c>
      <c r="L4" s="1" t="s">
        <v>13</v>
      </c>
      <c r="M4" s="1" t="s">
        <v>14</v>
      </c>
    </row>
    <row r="5" spans="1:13" ht="15" customHeight="1" x14ac:dyDescent="0.25">
      <c r="A5" s="2" t="s">
        <v>15</v>
      </c>
      <c r="B5" s="2" t="s">
        <v>16</v>
      </c>
      <c r="C5" s="2">
        <v>33</v>
      </c>
      <c r="D5" s="2" t="s">
        <v>17</v>
      </c>
      <c r="E5" s="2" t="s">
        <v>18</v>
      </c>
      <c r="F5" s="2" t="s">
        <v>19</v>
      </c>
      <c r="G5" s="2" t="s">
        <v>20</v>
      </c>
      <c r="H5" s="2" t="s">
        <v>21</v>
      </c>
      <c r="I5" s="2" t="s">
        <v>22</v>
      </c>
      <c r="J5" s="2" t="s">
        <v>23</v>
      </c>
      <c r="K5" s="2" t="s">
        <v>24</v>
      </c>
      <c r="L5" s="2" t="s">
        <v>25</v>
      </c>
      <c r="M5" s="2" t="s">
        <v>26</v>
      </c>
    </row>
    <row r="6" spans="1:13" ht="15" customHeight="1" x14ac:dyDescent="0.25">
      <c r="A6" s="3" t="s">
        <v>27</v>
      </c>
      <c r="B6" s="3" t="s">
        <v>28</v>
      </c>
      <c r="C6" s="3" t="s">
        <v>29</v>
      </c>
      <c r="D6" s="3" t="s">
        <v>17</v>
      </c>
      <c r="E6" s="3" t="s">
        <v>30</v>
      </c>
      <c r="F6" s="3" t="s">
        <v>31</v>
      </c>
      <c r="G6" s="3" t="s">
        <v>32</v>
      </c>
      <c r="H6" s="3" t="s">
        <v>33</v>
      </c>
      <c r="I6" s="3" t="s">
        <v>34</v>
      </c>
      <c r="J6" s="3" t="s">
        <v>35</v>
      </c>
      <c r="K6" s="3" t="s">
        <v>36</v>
      </c>
      <c r="L6" s="3" t="s">
        <v>37</v>
      </c>
      <c r="M6" s="3" t="s">
        <v>26</v>
      </c>
    </row>
    <row r="7" spans="1:13" ht="15" customHeight="1" x14ac:dyDescent="0.25">
      <c r="A7" s="2" t="s">
        <v>38</v>
      </c>
      <c r="B7" s="2" t="s">
        <v>39</v>
      </c>
      <c r="C7" s="2">
        <v>16</v>
      </c>
      <c r="D7" s="2" t="s">
        <v>40</v>
      </c>
      <c r="E7" s="2" t="s">
        <v>41</v>
      </c>
      <c r="F7" s="2" t="s">
        <v>42</v>
      </c>
      <c r="G7" s="2" t="s">
        <v>43</v>
      </c>
      <c r="H7" s="2" t="s">
        <v>44</v>
      </c>
      <c r="I7" s="2" t="s">
        <v>45</v>
      </c>
      <c r="J7" s="2" t="s">
        <v>23</v>
      </c>
      <c r="K7" s="2" t="s">
        <v>36</v>
      </c>
      <c r="L7" s="2" t="s">
        <v>46</v>
      </c>
      <c r="M7" s="2" t="s">
        <v>26</v>
      </c>
    </row>
    <row r="8" spans="1:13" ht="15" customHeight="1" x14ac:dyDescent="0.25">
      <c r="A8" s="3" t="s">
        <v>47</v>
      </c>
      <c r="B8" s="3" t="s">
        <v>48</v>
      </c>
      <c r="C8" s="3">
        <v>51</v>
      </c>
      <c r="D8" s="3" t="s">
        <v>17</v>
      </c>
      <c r="E8" s="3" t="s">
        <v>41</v>
      </c>
      <c r="F8" s="3" t="s">
        <v>49</v>
      </c>
      <c r="G8" s="3" t="s">
        <v>50</v>
      </c>
      <c r="H8" s="3" t="s">
        <v>51</v>
      </c>
      <c r="I8" s="3" t="s">
        <v>52</v>
      </c>
      <c r="J8" s="3" t="s">
        <v>53</v>
      </c>
      <c r="K8" s="3" t="s">
        <v>24</v>
      </c>
      <c r="L8" s="3" t="s">
        <v>37</v>
      </c>
      <c r="M8" s="3" t="s">
        <v>54</v>
      </c>
    </row>
    <row r="9" spans="1:13" ht="15" customHeight="1" x14ac:dyDescent="0.25">
      <c r="A9" s="2" t="s">
        <v>55</v>
      </c>
      <c r="B9" s="2" t="s">
        <v>56</v>
      </c>
      <c r="C9" s="2">
        <v>25</v>
      </c>
      <c r="D9" s="2" t="s">
        <v>57</v>
      </c>
      <c r="E9" s="2" t="s">
        <v>58</v>
      </c>
      <c r="F9" s="2" t="s">
        <v>59</v>
      </c>
      <c r="G9" s="2" t="s">
        <v>60</v>
      </c>
      <c r="H9" s="2" t="s">
        <v>61</v>
      </c>
      <c r="I9" s="2" t="s">
        <v>45</v>
      </c>
      <c r="J9" s="2" t="s">
        <v>62</v>
      </c>
      <c r="K9" s="2" t="s">
        <v>24</v>
      </c>
      <c r="L9" s="2" t="s">
        <v>37</v>
      </c>
      <c r="M9" s="2" t="s">
        <v>63</v>
      </c>
    </row>
    <row r="10" spans="1:13" ht="15" customHeight="1" x14ac:dyDescent="0.25">
      <c r="A10" s="3" t="s">
        <v>64</v>
      </c>
      <c r="B10" s="3" t="s">
        <v>65</v>
      </c>
      <c r="C10" s="3">
        <v>53</v>
      </c>
      <c r="D10" s="3" t="s">
        <v>40</v>
      </c>
      <c r="E10" s="3" t="s">
        <v>18</v>
      </c>
      <c r="F10" s="3" t="s">
        <v>66</v>
      </c>
      <c r="G10" s="3" t="s">
        <v>43</v>
      </c>
      <c r="H10" s="3" t="s">
        <v>67</v>
      </c>
      <c r="I10" s="3" t="s">
        <v>34</v>
      </c>
      <c r="J10" s="3" t="s">
        <v>23</v>
      </c>
      <c r="K10" s="3" t="s">
        <v>36</v>
      </c>
      <c r="L10" s="3" t="s">
        <v>37</v>
      </c>
      <c r="M10" s="3" t="s">
        <v>54</v>
      </c>
    </row>
    <row r="11" spans="1:13" ht="15" customHeight="1" x14ac:dyDescent="0.25">
      <c r="A11" s="2" t="s">
        <v>68</v>
      </c>
      <c r="B11" s="2" t="s">
        <v>69</v>
      </c>
      <c r="C11" s="2">
        <v>77</v>
      </c>
      <c r="D11" s="2" t="s">
        <v>40</v>
      </c>
      <c r="E11" s="2" t="s">
        <v>70</v>
      </c>
      <c r="F11" s="2" t="s">
        <v>71</v>
      </c>
      <c r="G11" s="2" t="s">
        <v>72</v>
      </c>
      <c r="H11" s="2" t="s">
        <v>73</v>
      </c>
      <c r="I11" s="2" t="s">
        <v>45</v>
      </c>
      <c r="J11" s="2" t="s">
        <v>35</v>
      </c>
      <c r="K11" s="2" t="s">
        <v>24</v>
      </c>
      <c r="L11" s="2" t="s">
        <v>37</v>
      </c>
      <c r="M11" s="2" t="s">
        <v>26</v>
      </c>
    </row>
    <row r="12" spans="1:13" ht="15" customHeight="1" x14ac:dyDescent="0.25">
      <c r="A12" s="3" t="s">
        <v>74</v>
      </c>
      <c r="B12" s="3" t="s">
        <v>75</v>
      </c>
      <c r="C12" s="3">
        <v>79</v>
      </c>
      <c r="D12" s="3" t="s">
        <v>40</v>
      </c>
      <c r="E12" s="3" t="s">
        <v>76</v>
      </c>
      <c r="F12" s="3" t="s">
        <v>77</v>
      </c>
      <c r="G12" s="3" t="s">
        <v>43</v>
      </c>
      <c r="H12" s="3" t="s">
        <v>78</v>
      </c>
      <c r="I12" s="3" t="s">
        <v>52</v>
      </c>
      <c r="J12" s="3" t="s">
        <v>53</v>
      </c>
      <c r="K12" s="3" t="s">
        <v>24</v>
      </c>
      <c r="L12" s="3" t="s">
        <v>37</v>
      </c>
      <c r="M12" s="3" t="s">
        <v>26</v>
      </c>
    </row>
    <row r="13" spans="1:13" ht="15" customHeight="1" x14ac:dyDescent="0.25">
      <c r="A13" s="2" t="s">
        <v>79</v>
      </c>
      <c r="B13" s="2" t="s">
        <v>80</v>
      </c>
      <c r="C13" s="2">
        <v>59</v>
      </c>
      <c r="D13" s="2" t="s">
        <v>17</v>
      </c>
      <c r="E13" s="2" t="s">
        <v>81</v>
      </c>
      <c r="F13" s="2" t="s">
        <v>82</v>
      </c>
      <c r="G13" s="2" t="s">
        <v>20</v>
      </c>
      <c r="H13" s="2" t="s">
        <v>83</v>
      </c>
      <c r="I13" s="2" t="s">
        <v>22</v>
      </c>
      <c r="J13" s="2" t="s">
        <v>23</v>
      </c>
      <c r="K13" s="2" t="s">
        <v>36</v>
      </c>
      <c r="L13" s="2" t="s">
        <v>37</v>
      </c>
      <c r="M13" s="2" t="s">
        <v>63</v>
      </c>
    </row>
    <row r="14" spans="1:13" ht="15" customHeight="1" x14ac:dyDescent="0.25">
      <c r="A14" s="3" t="s">
        <v>84</v>
      </c>
      <c r="B14" s="3" t="s">
        <v>85</v>
      </c>
      <c r="C14" s="3">
        <v>73</v>
      </c>
      <c r="D14" s="3" t="s">
        <v>86</v>
      </c>
      <c r="E14" s="3" t="s">
        <v>58</v>
      </c>
      <c r="F14" s="3" t="s">
        <v>87</v>
      </c>
      <c r="G14" s="3" t="s">
        <v>60</v>
      </c>
      <c r="H14" s="3" t="s">
        <v>88</v>
      </c>
      <c r="I14" s="3" t="s">
        <v>22</v>
      </c>
      <c r="J14" s="3" t="s">
        <v>53</v>
      </c>
      <c r="K14" s="3" t="s">
        <v>36</v>
      </c>
      <c r="L14" s="3" t="s">
        <v>37</v>
      </c>
      <c r="M14" s="3" t="s">
        <v>63</v>
      </c>
    </row>
    <row r="15" spans="1:13" ht="15" customHeight="1" x14ac:dyDescent="0.25">
      <c r="A15" s="2" t="s">
        <v>89</v>
      </c>
      <c r="B15" s="2" t="s">
        <v>90</v>
      </c>
      <c r="C15" s="2">
        <v>18</v>
      </c>
      <c r="D15" s="2" t="s">
        <v>40</v>
      </c>
      <c r="E15" s="2" t="s">
        <v>18</v>
      </c>
      <c r="F15" s="2" t="s">
        <v>66</v>
      </c>
      <c r="G15" s="2" t="s">
        <v>91</v>
      </c>
      <c r="H15" s="2" t="s">
        <v>92</v>
      </c>
      <c r="I15" s="2" t="s">
        <v>52</v>
      </c>
      <c r="J15" s="2" t="s">
        <v>35</v>
      </c>
      <c r="K15" s="2" t="s">
        <v>36</v>
      </c>
      <c r="L15" s="2" t="s">
        <v>46</v>
      </c>
      <c r="M15" s="2" t="s">
        <v>26</v>
      </c>
    </row>
    <row r="16" spans="1:13" ht="15" customHeight="1" x14ac:dyDescent="0.25">
      <c r="A16" s="3" t="s">
        <v>93</v>
      </c>
      <c r="B16" s="3" t="s">
        <v>94</v>
      </c>
      <c r="C16" s="3">
        <v>19</v>
      </c>
      <c r="D16" s="3" t="s">
        <v>40</v>
      </c>
      <c r="E16" s="3" t="s">
        <v>95</v>
      </c>
      <c r="F16" s="3" t="s">
        <v>96</v>
      </c>
      <c r="G16" s="3" t="s">
        <v>32</v>
      </c>
      <c r="H16" s="3" t="s">
        <v>97</v>
      </c>
      <c r="I16" s="3" t="s">
        <v>52</v>
      </c>
      <c r="J16" s="3" t="s">
        <v>62</v>
      </c>
      <c r="K16" s="3" t="s">
        <v>24</v>
      </c>
      <c r="L16" s="3" t="s">
        <v>37</v>
      </c>
      <c r="M16" s="3" t="s">
        <v>26</v>
      </c>
    </row>
    <row r="17" spans="1:13" ht="15" customHeight="1" x14ac:dyDescent="0.25">
      <c r="A17" s="2" t="s">
        <v>98</v>
      </c>
      <c r="B17" s="2" t="s">
        <v>99</v>
      </c>
      <c r="C17" s="2">
        <v>21</v>
      </c>
      <c r="D17" s="2" t="s">
        <v>40</v>
      </c>
      <c r="E17" s="2" t="s">
        <v>18</v>
      </c>
      <c r="F17" s="2" t="s">
        <v>66</v>
      </c>
      <c r="G17" s="2" t="s">
        <v>60</v>
      </c>
      <c r="H17" s="2" t="s">
        <v>100</v>
      </c>
      <c r="I17" s="2" t="s">
        <v>22</v>
      </c>
      <c r="J17" s="2" t="s">
        <v>35</v>
      </c>
      <c r="K17" s="2" t="s">
        <v>36</v>
      </c>
      <c r="L17" s="2" t="s">
        <v>46</v>
      </c>
      <c r="M17" s="2" t="s">
        <v>63</v>
      </c>
    </row>
    <row r="18" spans="1:13" ht="15" customHeight="1" x14ac:dyDescent="0.25">
      <c r="A18" s="3" t="s">
        <v>101</v>
      </c>
      <c r="B18" s="3" t="s">
        <v>102</v>
      </c>
      <c r="C18" s="3">
        <v>56</v>
      </c>
      <c r="D18" s="3" t="s">
        <v>40</v>
      </c>
      <c r="E18" s="3" t="s">
        <v>30</v>
      </c>
      <c r="F18" s="3" t="s">
        <v>103</v>
      </c>
      <c r="G18" s="3" t="s">
        <v>20</v>
      </c>
      <c r="H18" s="3" t="s">
        <v>104</v>
      </c>
      <c r="I18" s="3" t="s">
        <v>52</v>
      </c>
      <c r="J18" s="3" t="s">
        <v>62</v>
      </c>
      <c r="K18" s="3" t="s">
        <v>36</v>
      </c>
      <c r="L18" s="3" t="s">
        <v>37</v>
      </c>
      <c r="M18" s="3" t="s">
        <v>63</v>
      </c>
    </row>
    <row r="19" spans="1:13" ht="15" customHeight="1" x14ac:dyDescent="0.25">
      <c r="A19" s="2" t="s">
        <v>105</v>
      </c>
      <c r="B19" s="2" t="s">
        <v>106</v>
      </c>
      <c r="C19" s="2">
        <v>5</v>
      </c>
      <c r="D19" s="2" t="s">
        <v>17</v>
      </c>
      <c r="E19" s="2" t="s">
        <v>107</v>
      </c>
      <c r="F19" s="2" t="s">
        <v>108</v>
      </c>
      <c r="G19" s="2" t="s">
        <v>109</v>
      </c>
      <c r="H19" s="2" t="s">
        <v>110</v>
      </c>
      <c r="I19" s="2" t="s">
        <v>34</v>
      </c>
      <c r="J19" s="2" t="s">
        <v>62</v>
      </c>
      <c r="K19" s="2" t="s">
        <v>24</v>
      </c>
      <c r="L19" s="2" t="s">
        <v>46</v>
      </c>
      <c r="M19" s="2" t="s">
        <v>26</v>
      </c>
    </row>
    <row r="20" spans="1:13" ht="15" customHeight="1" x14ac:dyDescent="0.25">
      <c r="A20" s="3" t="s">
        <v>111</v>
      </c>
      <c r="B20" s="3" t="s">
        <v>112</v>
      </c>
      <c r="C20" s="3">
        <v>74</v>
      </c>
      <c r="D20" s="3" t="s">
        <v>17</v>
      </c>
      <c r="E20" s="3" t="s">
        <v>76</v>
      </c>
      <c r="F20" s="3" t="s">
        <v>77</v>
      </c>
      <c r="G20" s="3" t="s">
        <v>50</v>
      </c>
      <c r="H20" s="3" t="s">
        <v>113</v>
      </c>
      <c r="I20" s="3" t="s">
        <v>22</v>
      </c>
      <c r="J20" s="3" t="s">
        <v>35</v>
      </c>
      <c r="K20" s="3" t="s">
        <v>36</v>
      </c>
      <c r="L20" s="3" t="s">
        <v>114</v>
      </c>
      <c r="M20" s="3" t="s">
        <v>26</v>
      </c>
    </row>
    <row r="21" spans="1:13" ht="15" customHeight="1" x14ac:dyDescent="0.25">
      <c r="A21" s="2" t="s">
        <v>115</v>
      </c>
      <c r="B21" s="2" t="s">
        <v>116</v>
      </c>
      <c r="C21" s="2">
        <v>57</v>
      </c>
      <c r="D21" s="2" t="s">
        <v>40</v>
      </c>
      <c r="E21" s="2" t="s">
        <v>107</v>
      </c>
      <c r="F21" s="2" t="s">
        <v>107</v>
      </c>
      <c r="G21" s="2" t="s">
        <v>32</v>
      </c>
      <c r="H21" s="2" t="s">
        <v>117</v>
      </c>
      <c r="I21" s="2" t="s">
        <v>22</v>
      </c>
      <c r="J21" s="2" t="s">
        <v>62</v>
      </c>
      <c r="K21" s="2" t="s">
        <v>24</v>
      </c>
      <c r="L21" s="2" t="s">
        <v>25</v>
      </c>
      <c r="M21" s="2" t="s">
        <v>26</v>
      </c>
    </row>
    <row r="22" spans="1:13" ht="15" customHeight="1" x14ac:dyDescent="0.25">
      <c r="A22" s="3" t="s">
        <v>118</v>
      </c>
      <c r="B22" s="3" t="s">
        <v>119</v>
      </c>
      <c r="C22" s="3">
        <v>59</v>
      </c>
      <c r="D22" s="3" t="s">
        <v>17</v>
      </c>
      <c r="E22" s="3" t="s">
        <v>95</v>
      </c>
      <c r="F22" s="3" t="s">
        <v>120</v>
      </c>
      <c r="G22" s="3" t="s">
        <v>50</v>
      </c>
      <c r="H22" s="3" t="s">
        <v>121</v>
      </c>
      <c r="I22" s="3" t="s">
        <v>34</v>
      </c>
      <c r="J22" s="3" t="s">
        <v>62</v>
      </c>
      <c r="K22" s="3" t="s">
        <v>36</v>
      </c>
      <c r="L22" s="3" t="s">
        <v>46</v>
      </c>
      <c r="M22" s="3" t="s">
        <v>26</v>
      </c>
    </row>
    <row r="23" spans="1:13" ht="15" customHeight="1" x14ac:dyDescent="0.25">
      <c r="A23" s="2" t="s">
        <v>122</v>
      </c>
      <c r="B23" s="2" t="s">
        <v>123</v>
      </c>
      <c r="C23" s="2">
        <v>26</v>
      </c>
      <c r="D23" s="2" t="s">
        <v>40</v>
      </c>
      <c r="E23" s="2" t="s">
        <v>30</v>
      </c>
      <c r="F23" s="2" t="s">
        <v>103</v>
      </c>
      <c r="G23" s="2" t="s">
        <v>50</v>
      </c>
      <c r="H23" s="2" t="s">
        <v>21</v>
      </c>
      <c r="I23" s="2" t="s">
        <v>22</v>
      </c>
      <c r="J23" s="2" t="s">
        <v>35</v>
      </c>
      <c r="K23" s="2" t="s">
        <v>24</v>
      </c>
      <c r="L23" s="2" t="s">
        <v>37</v>
      </c>
      <c r="M23" s="2" t="s">
        <v>54</v>
      </c>
    </row>
    <row r="24" spans="1:13" ht="15" customHeight="1" x14ac:dyDescent="0.25">
      <c r="A24" s="3" t="s">
        <v>124</v>
      </c>
      <c r="B24" s="3" t="s">
        <v>125</v>
      </c>
      <c r="C24" s="3">
        <v>41</v>
      </c>
      <c r="D24" s="3" t="s">
        <v>40</v>
      </c>
      <c r="E24" s="3" t="s">
        <v>18</v>
      </c>
      <c r="F24" s="3" t="s">
        <v>126</v>
      </c>
      <c r="G24" s="3" t="s">
        <v>127</v>
      </c>
      <c r="H24" s="3" t="s">
        <v>128</v>
      </c>
      <c r="I24" s="3" t="s">
        <v>52</v>
      </c>
      <c r="J24" s="3" t="s">
        <v>53</v>
      </c>
      <c r="K24" s="3" t="s">
        <v>36</v>
      </c>
      <c r="L24" s="3" t="s">
        <v>114</v>
      </c>
      <c r="M24" s="3" t="s">
        <v>63</v>
      </c>
    </row>
    <row r="25" spans="1:13" ht="15" customHeight="1" x14ac:dyDescent="0.25">
      <c r="A25" s="2" t="s">
        <v>129</v>
      </c>
      <c r="B25" s="2" t="s">
        <v>130</v>
      </c>
      <c r="C25" s="2">
        <v>12</v>
      </c>
      <c r="D25" s="2" t="s">
        <v>17</v>
      </c>
      <c r="E25" s="2" t="s">
        <v>76</v>
      </c>
      <c r="F25" s="2" t="s">
        <v>77</v>
      </c>
      <c r="G25" s="2" t="s">
        <v>32</v>
      </c>
      <c r="H25" s="2" t="s">
        <v>131</v>
      </c>
      <c r="I25" s="2" t="s">
        <v>22</v>
      </c>
      <c r="J25" s="2" t="s">
        <v>23</v>
      </c>
      <c r="K25" s="2" t="s">
        <v>36</v>
      </c>
      <c r="L25" s="2" t="s">
        <v>114</v>
      </c>
      <c r="M25" s="2" t="s">
        <v>26</v>
      </c>
    </row>
    <row r="26" spans="1:13" ht="15" customHeight="1" x14ac:dyDescent="0.25">
      <c r="A26" s="3" t="s">
        <v>132</v>
      </c>
      <c r="B26" s="3" t="s">
        <v>133</v>
      </c>
      <c r="C26" s="3">
        <v>43</v>
      </c>
      <c r="D26" s="3" t="s">
        <v>17</v>
      </c>
      <c r="E26" s="3" t="s">
        <v>76</v>
      </c>
      <c r="F26" s="3" t="s">
        <v>134</v>
      </c>
      <c r="G26" s="3" t="s">
        <v>72</v>
      </c>
      <c r="H26" s="3" t="s">
        <v>135</v>
      </c>
      <c r="I26" s="3" t="s">
        <v>45</v>
      </c>
      <c r="J26" s="3" t="s">
        <v>62</v>
      </c>
      <c r="K26" s="3" t="s">
        <v>24</v>
      </c>
      <c r="L26" s="3" t="s">
        <v>25</v>
      </c>
      <c r="M26" s="3" t="s">
        <v>63</v>
      </c>
    </row>
    <row r="27" spans="1:13" ht="15" customHeight="1" x14ac:dyDescent="0.25">
      <c r="A27" s="2" t="s">
        <v>136</v>
      </c>
      <c r="B27" s="2" t="s">
        <v>137</v>
      </c>
      <c r="C27" s="2">
        <v>55</v>
      </c>
      <c r="D27" s="2" t="s">
        <v>17</v>
      </c>
      <c r="E27" s="2" t="s">
        <v>95</v>
      </c>
      <c r="F27" s="2" t="s">
        <v>120</v>
      </c>
      <c r="G27" s="2" t="s">
        <v>43</v>
      </c>
      <c r="H27" s="2" t="s">
        <v>138</v>
      </c>
      <c r="I27" s="2" t="s">
        <v>34</v>
      </c>
      <c r="J27" s="2" t="s">
        <v>53</v>
      </c>
      <c r="K27" s="2" t="s">
        <v>24</v>
      </c>
      <c r="L27" s="2" t="s">
        <v>114</v>
      </c>
      <c r="M27" s="2" t="s">
        <v>26</v>
      </c>
    </row>
    <row r="28" spans="1:13" ht="15" customHeight="1" x14ac:dyDescent="0.25">
      <c r="A28" s="3" t="s">
        <v>139</v>
      </c>
      <c r="B28" s="3" t="s">
        <v>140</v>
      </c>
      <c r="C28" s="3">
        <v>38</v>
      </c>
      <c r="D28" s="3" t="s">
        <v>17</v>
      </c>
      <c r="E28" s="3" t="s">
        <v>58</v>
      </c>
      <c r="F28" s="3" t="s">
        <v>87</v>
      </c>
      <c r="G28" s="3" t="s">
        <v>50</v>
      </c>
      <c r="H28" s="3" t="s">
        <v>141</v>
      </c>
      <c r="I28" s="3" t="s">
        <v>52</v>
      </c>
      <c r="J28" s="3" t="s">
        <v>35</v>
      </c>
      <c r="K28" s="3" t="s">
        <v>36</v>
      </c>
      <c r="L28" s="3" t="s">
        <v>46</v>
      </c>
      <c r="M28" s="3" t="s">
        <v>63</v>
      </c>
    </row>
    <row r="29" spans="1:13" ht="15" customHeight="1" x14ac:dyDescent="0.25">
      <c r="A29" s="2" t="s">
        <v>142</v>
      </c>
      <c r="B29" s="2" t="s">
        <v>143</v>
      </c>
      <c r="C29" s="2"/>
      <c r="D29" s="2" t="s">
        <v>17</v>
      </c>
      <c r="E29" s="2" t="s">
        <v>18</v>
      </c>
      <c r="F29" s="2" t="s">
        <v>144</v>
      </c>
      <c r="G29" s="2" t="s">
        <v>20</v>
      </c>
      <c r="H29" s="2" t="s">
        <v>145</v>
      </c>
      <c r="I29" s="2" t="s">
        <v>34</v>
      </c>
      <c r="J29" s="2" t="s">
        <v>62</v>
      </c>
      <c r="K29" s="2" t="s">
        <v>24</v>
      </c>
      <c r="L29" s="2" t="s">
        <v>46</v>
      </c>
      <c r="M29" s="2" t="s">
        <v>26</v>
      </c>
    </row>
    <row r="30" spans="1:13" ht="15" customHeight="1" x14ac:dyDescent="0.25">
      <c r="A30" s="3" t="s">
        <v>146</v>
      </c>
      <c r="B30" s="3" t="s">
        <v>147</v>
      </c>
      <c r="C30" s="3">
        <v>48</v>
      </c>
      <c r="D30" s="3" t="s">
        <v>17</v>
      </c>
      <c r="E30" s="3" t="s">
        <v>95</v>
      </c>
      <c r="F30" s="3" t="s">
        <v>120</v>
      </c>
      <c r="G30" s="3" t="s">
        <v>60</v>
      </c>
      <c r="H30" s="3" t="s">
        <v>148</v>
      </c>
      <c r="I30" s="3" t="s">
        <v>34</v>
      </c>
      <c r="J30" s="3" t="s">
        <v>35</v>
      </c>
      <c r="K30" s="3" t="s">
        <v>24</v>
      </c>
      <c r="L30" s="3" t="s">
        <v>37</v>
      </c>
      <c r="M30" s="3" t="s">
        <v>26</v>
      </c>
    </row>
    <row r="31" spans="1:13" ht="15" customHeight="1" x14ac:dyDescent="0.25">
      <c r="A31" s="2" t="s">
        <v>149</v>
      </c>
      <c r="B31" s="2" t="s">
        <v>150</v>
      </c>
      <c r="C31" s="2">
        <v>38</v>
      </c>
      <c r="D31" s="2" t="s">
        <v>17</v>
      </c>
      <c r="E31" s="2" t="s">
        <v>30</v>
      </c>
      <c r="F31" s="2" t="s">
        <v>103</v>
      </c>
      <c r="G31" s="2" t="s">
        <v>32</v>
      </c>
      <c r="H31" s="2" t="s">
        <v>151</v>
      </c>
      <c r="I31" s="2" t="s">
        <v>34</v>
      </c>
      <c r="J31" s="2" t="s">
        <v>62</v>
      </c>
      <c r="K31" s="2" t="s">
        <v>36</v>
      </c>
      <c r="L31" s="2" t="s">
        <v>46</v>
      </c>
      <c r="M31" s="2" t="s">
        <v>26</v>
      </c>
    </row>
    <row r="32" spans="1:13" ht="15" customHeight="1" x14ac:dyDescent="0.25">
      <c r="A32" s="3" t="s">
        <v>152</v>
      </c>
      <c r="B32" s="3" t="s">
        <v>153</v>
      </c>
      <c r="C32" s="3">
        <v>60</v>
      </c>
      <c r="D32" s="3" t="s">
        <v>17</v>
      </c>
      <c r="E32" s="3" t="s">
        <v>107</v>
      </c>
      <c r="F32" s="3" t="s">
        <v>154</v>
      </c>
      <c r="G32" s="3" t="s">
        <v>43</v>
      </c>
      <c r="H32" s="3" t="s">
        <v>155</v>
      </c>
      <c r="I32" s="3" t="s">
        <v>34</v>
      </c>
      <c r="J32" s="3" t="s">
        <v>53</v>
      </c>
      <c r="K32" s="3" t="s">
        <v>36</v>
      </c>
      <c r="L32" s="3" t="s">
        <v>114</v>
      </c>
      <c r="M32" s="3" t="s">
        <v>54</v>
      </c>
    </row>
    <row r="33" spans="1:13" ht="15" customHeight="1" x14ac:dyDescent="0.25">
      <c r="A33" s="2" t="s">
        <v>156</v>
      </c>
      <c r="B33" s="2" t="s">
        <v>157</v>
      </c>
      <c r="C33" s="2">
        <v>57</v>
      </c>
      <c r="D33" s="2" t="s">
        <v>17</v>
      </c>
      <c r="E33" s="2" t="s">
        <v>70</v>
      </c>
      <c r="F33" s="2" t="s">
        <v>158</v>
      </c>
      <c r="G33" s="2" t="s">
        <v>91</v>
      </c>
      <c r="H33" s="2" t="s">
        <v>159</v>
      </c>
      <c r="I33" s="2" t="s">
        <v>22</v>
      </c>
      <c r="J33" s="2" t="s">
        <v>35</v>
      </c>
      <c r="K33" s="2" t="s">
        <v>36</v>
      </c>
      <c r="L33" s="2" t="s">
        <v>37</v>
      </c>
      <c r="M33" s="2" t="s">
        <v>63</v>
      </c>
    </row>
    <row r="34" spans="1:13" ht="15" customHeight="1" x14ac:dyDescent="0.25">
      <c r="A34" s="3" t="s">
        <v>160</v>
      </c>
      <c r="B34" s="3" t="s">
        <v>161</v>
      </c>
      <c r="C34" s="3"/>
      <c r="D34" s="3" t="s">
        <v>17</v>
      </c>
      <c r="E34" s="3" t="s">
        <v>81</v>
      </c>
      <c r="F34" s="3" t="s">
        <v>162</v>
      </c>
      <c r="G34" s="3" t="s">
        <v>32</v>
      </c>
      <c r="H34" s="3" t="s">
        <v>163</v>
      </c>
      <c r="I34" s="3" t="s">
        <v>52</v>
      </c>
      <c r="J34" s="3" t="s">
        <v>53</v>
      </c>
      <c r="K34" s="3" t="s">
        <v>36</v>
      </c>
      <c r="L34" s="3" t="s">
        <v>37</v>
      </c>
      <c r="M34" s="3" t="s">
        <v>26</v>
      </c>
    </row>
    <row r="35" spans="1:13" ht="15" customHeight="1" x14ac:dyDescent="0.25">
      <c r="A35" s="2" t="s">
        <v>164</v>
      </c>
      <c r="B35" s="2" t="s">
        <v>165</v>
      </c>
      <c r="C35" s="2">
        <v>56</v>
      </c>
      <c r="D35" s="2" t="s">
        <v>40</v>
      </c>
      <c r="E35" s="2" t="s">
        <v>95</v>
      </c>
      <c r="F35" s="2" t="s">
        <v>166</v>
      </c>
      <c r="G35" s="2" t="s">
        <v>60</v>
      </c>
      <c r="H35" s="2" t="s">
        <v>167</v>
      </c>
      <c r="I35" s="2" t="s">
        <v>52</v>
      </c>
      <c r="J35" s="2" t="s">
        <v>35</v>
      </c>
      <c r="K35" s="2" t="s">
        <v>36</v>
      </c>
      <c r="L35" s="2" t="s">
        <v>114</v>
      </c>
      <c r="M35" s="2" t="s">
        <v>26</v>
      </c>
    </row>
    <row r="36" spans="1:13" ht="15" customHeight="1" x14ac:dyDescent="0.25">
      <c r="A36" s="3" t="s">
        <v>168</v>
      </c>
      <c r="B36" s="3" t="s">
        <v>169</v>
      </c>
      <c r="C36" s="3">
        <v>27</v>
      </c>
      <c r="D36" s="3" t="s">
        <v>40</v>
      </c>
      <c r="E36" s="3" t="s">
        <v>107</v>
      </c>
      <c r="F36" s="3" t="s">
        <v>107</v>
      </c>
      <c r="G36" s="3" t="s">
        <v>20</v>
      </c>
      <c r="H36" s="3" t="s">
        <v>170</v>
      </c>
      <c r="I36" s="3" t="s">
        <v>22</v>
      </c>
      <c r="J36" s="3" t="s">
        <v>62</v>
      </c>
      <c r="K36" s="3" t="s">
        <v>24</v>
      </c>
      <c r="L36" s="3" t="s">
        <v>114</v>
      </c>
      <c r="M36" s="3" t="s">
        <v>63</v>
      </c>
    </row>
    <row r="37" spans="1:13" ht="15" customHeight="1" x14ac:dyDescent="0.25">
      <c r="A37" s="2" t="s">
        <v>171</v>
      </c>
      <c r="B37" s="2" t="s">
        <v>172</v>
      </c>
      <c r="C37" s="2">
        <v>29</v>
      </c>
      <c r="D37" s="2" t="s">
        <v>40</v>
      </c>
      <c r="E37" s="2" t="s">
        <v>107</v>
      </c>
      <c r="F37" s="2" t="s">
        <v>173</v>
      </c>
      <c r="G37" s="2" t="s">
        <v>32</v>
      </c>
      <c r="H37" s="2" t="s">
        <v>174</v>
      </c>
      <c r="I37" s="2" t="s">
        <v>22</v>
      </c>
      <c r="J37" s="2" t="s">
        <v>53</v>
      </c>
      <c r="K37" s="2" t="s">
        <v>36</v>
      </c>
      <c r="L37" s="2" t="s">
        <v>37</v>
      </c>
      <c r="M37" s="2" t="s">
        <v>26</v>
      </c>
    </row>
    <row r="38" spans="1:13" ht="15" customHeight="1" x14ac:dyDescent="0.25">
      <c r="A38" s="3" t="s">
        <v>175</v>
      </c>
      <c r="B38" s="3" t="s">
        <v>176</v>
      </c>
      <c r="C38" s="3">
        <v>20</v>
      </c>
      <c r="D38" s="3" t="s">
        <v>40</v>
      </c>
      <c r="E38" s="3" t="s">
        <v>18</v>
      </c>
      <c r="F38" s="3" t="s">
        <v>144</v>
      </c>
      <c r="G38" s="3" t="s">
        <v>72</v>
      </c>
      <c r="H38" s="3" t="s">
        <v>177</v>
      </c>
      <c r="I38" s="3" t="s">
        <v>52</v>
      </c>
      <c r="J38" s="3" t="s">
        <v>23</v>
      </c>
      <c r="K38" s="3" t="s">
        <v>36</v>
      </c>
      <c r="L38" s="3" t="s">
        <v>37</v>
      </c>
      <c r="M38" s="3" t="s">
        <v>26</v>
      </c>
    </row>
    <row r="39" spans="1:13" ht="15" customHeight="1" x14ac:dyDescent="0.25">
      <c r="A39" s="2" t="s">
        <v>178</v>
      </c>
      <c r="B39" s="2" t="s">
        <v>179</v>
      </c>
      <c r="C39" s="2">
        <v>27</v>
      </c>
      <c r="D39" s="2" t="s">
        <v>40</v>
      </c>
      <c r="E39" s="2" t="s">
        <v>81</v>
      </c>
      <c r="F39" s="2" t="s">
        <v>162</v>
      </c>
      <c r="G39" s="2" t="s">
        <v>60</v>
      </c>
      <c r="H39" s="2" t="s">
        <v>180</v>
      </c>
      <c r="I39" s="2" t="s">
        <v>52</v>
      </c>
      <c r="J39" s="2" t="s">
        <v>35</v>
      </c>
      <c r="K39" s="2" t="s">
        <v>24</v>
      </c>
      <c r="L39" s="2" t="s">
        <v>114</v>
      </c>
      <c r="M39" s="2" t="s">
        <v>63</v>
      </c>
    </row>
    <row r="40" spans="1:13" ht="15" customHeight="1" x14ac:dyDescent="0.25">
      <c r="A40" s="3" t="s">
        <v>181</v>
      </c>
      <c r="B40" s="3" t="s">
        <v>182</v>
      </c>
      <c r="C40" s="3">
        <v>32</v>
      </c>
      <c r="D40" s="3" t="s">
        <v>40</v>
      </c>
      <c r="E40" s="3" t="s">
        <v>183</v>
      </c>
      <c r="F40" s="3" t="s">
        <v>184</v>
      </c>
      <c r="G40" s="3" t="s">
        <v>60</v>
      </c>
      <c r="H40" s="3" t="s">
        <v>185</v>
      </c>
      <c r="I40" s="3" t="s">
        <v>22</v>
      </c>
      <c r="J40" s="3" t="s">
        <v>62</v>
      </c>
      <c r="K40" s="3" t="s">
        <v>24</v>
      </c>
      <c r="L40" s="3" t="s">
        <v>25</v>
      </c>
      <c r="M40" s="3" t="s">
        <v>63</v>
      </c>
    </row>
    <row r="41" spans="1:13" ht="15" customHeight="1" x14ac:dyDescent="0.25">
      <c r="A41" s="2" t="s">
        <v>186</v>
      </c>
      <c r="B41" s="2" t="s">
        <v>187</v>
      </c>
      <c r="C41" s="2">
        <v>23</v>
      </c>
      <c r="D41" s="2" t="s">
        <v>17</v>
      </c>
      <c r="E41" s="2" t="s">
        <v>107</v>
      </c>
      <c r="F41" s="2" t="s">
        <v>108</v>
      </c>
      <c r="G41" s="2" t="s">
        <v>32</v>
      </c>
      <c r="H41" s="2" t="s">
        <v>188</v>
      </c>
      <c r="I41" s="2" t="s">
        <v>45</v>
      </c>
      <c r="J41" s="2" t="s">
        <v>62</v>
      </c>
      <c r="K41" s="2" t="s">
        <v>36</v>
      </c>
      <c r="L41" s="2" t="s">
        <v>37</v>
      </c>
      <c r="M41" s="2" t="s">
        <v>63</v>
      </c>
    </row>
    <row r="42" spans="1:13" ht="15" customHeight="1" x14ac:dyDescent="0.25">
      <c r="A42" s="3" t="s">
        <v>189</v>
      </c>
      <c r="B42" s="3" t="s">
        <v>190</v>
      </c>
      <c r="C42" s="3">
        <v>54</v>
      </c>
      <c r="D42" s="3" t="s">
        <v>40</v>
      </c>
      <c r="E42" s="3" t="s">
        <v>81</v>
      </c>
      <c r="F42" s="3" t="s">
        <v>191</v>
      </c>
      <c r="G42" s="3" t="s">
        <v>91</v>
      </c>
      <c r="H42" s="3" t="s">
        <v>192</v>
      </c>
      <c r="I42" s="3" t="s">
        <v>45</v>
      </c>
      <c r="J42" s="3" t="s">
        <v>23</v>
      </c>
      <c r="K42" s="3" t="s">
        <v>24</v>
      </c>
      <c r="L42" s="3" t="s">
        <v>37</v>
      </c>
      <c r="M42" s="3" t="s">
        <v>26</v>
      </c>
    </row>
    <row r="43" spans="1:13" ht="15" customHeight="1" x14ac:dyDescent="0.25">
      <c r="A43" s="2" t="s">
        <v>193</v>
      </c>
      <c r="B43" s="2" t="s">
        <v>194</v>
      </c>
      <c r="C43" s="2">
        <v>71</v>
      </c>
      <c r="D43" s="2" t="s">
        <v>40</v>
      </c>
      <c r="E43" s="2" t="s">
        <v>107</v>
      </c>
      <c r="F43" s="2" t="s">
        <v>108</v>
      </c>
      <c r="G43" s="2" t="s">
        <v>20</v>
      </c>
      <c r="H43" s="2" t="s">
        <v>195</v>
      </c>
      <c r="I43" s="2" t="s">
        <v>22</v>
      </c>
      <c r="J43" s="2" t="s">
        <v>53</v>
      </c>
      <c r="K43" s="2" t="s">
        <v>36</v>
      </c>
      <c r="L43" s="2" t="s">
        <v>46</v>
      </c>
      <c r="M43" s="2" t="s">
        <v>63</v>
      </c>
    </row>
    <row r="44" spans="1:13" ht="15" customHeight="1" x14ac:dyDescent="0.25">
      <c r="A44" s="3" t="s">
        <v>196</v>
      </c>
      <c r="B44" s="3" t="s">
        <v>197</v>
      </c>
      <c r="C44" s="3">
        <v>69</v>
      </c>
      <c r="D44" s="3" t="s">
        <v>40</v>
      </c>
      <c r="E44" s="3" t="s">
        <v>18</v>
      </c>
      <c r="F44" s="3" t="s">
        <v>126</v>
      </c>
      <c r="G44" s="3" t="s">
        <v>91</v>
      </c>
      <c r="H44" s="3" t="s">
        <v>198</v>
      </c>
      <c r="I44" s="3" t="s">
        <v>45</v>
      </c>
      <c r="J44" s="3" t="s">
        <v>53</v>
      </c>
      <c r="K44" s="3" t="s">
        <v>36</v>
      </c>
      <c r="L44" s="3" t="s">
        <v>37</v>
      </c>
      <c r="M44" s="3" t="s">
        <v>26</v>
      </c>
    </row>
    <row r="45" spans="1:13" ht="15" customHeight="1" x14ac:dyDescent="0.25">
      <c r="A45" s="2" t="s">
        <v>199</v>
      </c>
      <c r="B45" s="2" t="s">
        <v>200</v>
      </c>
      <c r="C45" s="2">
        <v>71</v>
      </c>
      <c r="D45" s="2" t="s">
        <v>40</v>
      </c>
      <c r="E45" s="2" t="s">
        <v>70</v>
      </c>
      <c r="F45" s="2" t="s">
        <v>201</v>
      </c>
      <c r="G45" s="2" t="s">
        <v>32</v>
      </c>
      <c r="H45" s="2" t="s">
        <v>202</v>
      </c>
      <c r="I45" s="2" t="s">
        <v>34</v>
      </c>
      <c r="J45" s="2" t="s">
        <v>23</v>
      </c>
      <c r="K45" s="2" t="s">
        <v>36</v>
      </c>
      <c r="L45" s="2" t="s">
        <v>37</v>
      </c>
      <c r="M45" s="2" t="s">
        <v>54</v>
      </c>
    </row>
    <row r="46" spans="1:13" ht="15" customHeight="1" x14ac:dyDescent="0.25">
      <c r="A46" s="3" t="s">
        <v>203</v>
      </c>
      <c r="B46" s="3" t="s">
        <v>204</v>
      </c>
      <c r="C46" s="3">
        <v>22</v>
      </c>
      <c r="D46" s="3" t="s">
        <v>17</v>
      </c>
      <c r="E46" s="3" t="s">
        <v>70</v>
      </c>
      <c r="F46" s="3" t="s">
        <v>71</v>
      </c>
      <c r="G46" s="3" t="s">
        <v>91</v>
      </c>
      <c r="H46" s="3" t="s">
        <v>205</v>
      </c>
      <c r="I46" s="3" t="s">
        <v>45</v>
      </c>
      <c r="J46" s="3" t="s">
        <v>62</v>
      </c>
      <c r="K46" s="3" t="s">
        <v>24</v>
      </c>
      <c r="L46" s="3" t="s">
        <v>37</v>
      </c>
      <c r="M46" s="3" t="s">
        <v>54</v>
      </c>
    </row>
    <row r="47" spans="1:13" ht="15" customHeight="1" x14ac:dyDescent="0.25">
      <c r="A47" s="2" t="s">
        <v>206</v>
      </c>
      <c r="B47" s="2" t="s">
        <v>207</v>
      </c>
      <c r="C47" s="2">
        <v>31</v>
      </c>
      <c r="D47" s="2" t="s">
        <v>40</v>
      </c>
      <c r="E47" s="2" t="s">
        <v>81</v>
      </c>
      <c r="F47" s="2" t="s">
        <v>162</v>
      </c>
      <c r="G47" s="2" t="s">
        <v>20</v>
      </c>
      <c r="H47" s="2" t="s">
        <v>208</v>
      </c>
      <c r="I47" s="2" t="s">
        <v>22</v>
      </c>
      <c r="J47" s="2" t="s">
        <v>23</v>
      </c>
      <c r="K47" s="2" t="s">
        <v>36</v>
      </c>
      <c r="L47" s="2" t="s">
        <v>37</v>
      </c>
      <c r="M47" s="2" t="s">
        <v>54</v>
      </c>
    </row>
    <row r="48" spans="1:13" ht="15" customHeight="1" x14ac:dyDescent="0.25">
      <c r="A48" s="3" t="s">
        <v>209</v>
      </c>
      <c r="B48" s="3" t="s">
        <v>210</v>
      </c>
      <c r="C48" s="3">
        <v>74</v>
      </c>
      <c r="D48" s="3" t="s">
        <v>17</v>
      </c>
      <c r="E48" s="3" t="s">
        <v>30</v>
      </c>
      <c r="F48" s="3" t="s">
        <v>211</v>
      </c>
      <c r="G48" s="3" t="s">
        <v>60</v>
      </c>
      <c r="H48" s="3" t="s">
        <v>208</v>
      </c>
      <c r="I48" s="3" t="s">
        <v>22</v>
      </c>
      <c r="J48" s="3" t="s">
        <v>23</v>
      </c>
      <c r="K48" s="3" t="s">
        <v>24</v>
      </c>
      <c r="L48" s="3" t="s">
        <v>114</v>
      </c>
      <c r="M48" s="3" t="s">
        <v>63</v>
      </c>
    </row>
    <row r="49" spans="1:13" ht="15" customHeight="1" x14ac:dyDescent="0.25">
      <c r="A49" s="2" t="s">
        <v>212</v>
      </c>
      <c r="B49" s="2" t="s">
        <v>213</v>
      </c>
      <c r="C49" s="2">
        <v>26</v>
      </c>
      <c r="D49" s="2" t="s">
        <v>40</v>
      </c>
      <c r="E49" s="2" t="s">
        <v>183</v>
      </c>
      <c r="F49" s="2" t="s">
        <v>184</v>
      </c>
      <c r="G49" s="2" t="s">
        <v>72</v>
      </c>
      <c r="H49" s="2" t="s">
        <v>214</v>
      </c>
      <c r="I49" s="2" t="s">
        <v>45</v>
      </c>
      <c r="J49" s="2" t="s">
        <v>23</v>
      </c>
      <c r="K49" s="2" t="s">
        <v>215</v>
      </c>
      <c r="L49" s="2" t="s">
        <v>37</v>
      </c>
      <c r="M49" s="2" t="s">
        <v>26</v>
      </c>
    </row>
    <row r="50" spans="1:13" ht="15" customHeight="1" x14ac:dyDescent="0.25">
      <c r="A50" s="3" t="s">
        <v>216</v>
      </c>
      <c r="B50" s="3" t="s">
        <v>217</v>
      </c>
      <c r="C50" s="3" t="s">
        <v>29</v>
      </c>
      <c r="D50" s="3" t="s">
        <v>40</v>
      </c>
      <c r="E50" s="3" t="s">
        <v>58</v>
      </c>
      <c r="F50" s="3" t="s">
        <v>218</v>
      </c>
      <c r="G50" s="3" t="s">
        <v>60</v>
      </c>
      <c r="H50" s="3" t="s">
        <v>219</v>
      </c>
      <c r="I50" s="3" t="s">
        <v>22</v>
      </c>
      <c r="J50" s="3" t="s">
        <v>62</v>
      </c>
      <c r="K50" s="3" t="s">
        <v>36</v>
      </c>
      <c r="L50" s="3" t="s">
        <v>37</v>
      </c>
      <c r="M50" s="3" t="s">
        <v>63</v>
      </c>
    </row>
    <row r="51" spans="1:13" ht="15" customHeight="1" x14ac:dyDescent="0.25">
      <c r="A51" s="2" t="s">
        <v>220</v>
      </c>
      <c r="B51" s="2" t="s">
        <v>130</v>
      </c>
      <c r="C51" s="2">
        <v>49</v>
      </c>
      <c r="D51" s="2" t="s">
        <v>17</v>
      </c>
      <c r="E51" s="2" t="s">
        <v>41</v>
      </c>
      <c r="F51" s="2" t="s">
        <v>49</v>
      </c>
      <c r="G51" s="2" t="s">
        <v>32</v>
      </c>
      <c r="H51" s="2" t="s">
        <v>163</v>
      </c>
      <c r="I51" s="2" t="s">
        <v>52</v>
      </c>
      <c r="J51" s="2" t="s">
        <v>23</v>
      </c>
      <c r="K51" s="2" t="s">
        <v>24</v>
      </c>
      <c r="L51" s="2" t="s">
        <v>37</v>
      </c>
      <c r="M51" s="2" t="s">
        <v>26</v>
      </c>
    </row>
    <row r="52" spans="1:13" ht="15" customHeight="1" x14ac:dyDescent="0.25">
      <c r="A52" s="3" t="s">
        <v>221</v>
      </c>
      <c r="B52" s="3" t="s">
        <v>222</v>
      </c>
      <c r="C52" s="3">
        <v>77</v>
      </c>
      <c r="D52" s="3" t="s">
        <v>17</v>
      </c>
      <c r="E52" s="3" t="s">
        <v>30</v>
      </c>
      <c r="F52" s="3" t="s">
        <v>31</v>
      </c>
      <c r="G52" s="3" t="s">
        <v>43</v>
      </c>
      <c r="H52" s="3" t="s">
        <v>223</v>
      </c>
      <c r="I52" s="3" t="s">
        <v>34</v>
      </c>
      <c r="J52" s="3" t="s">
        <v>62</v>
      </c>
      <c r="K52" s="3" t="s">
        <v>36</v>
      </c>
      <c r="L52" s="3" t="s">
        <v>37</v>
      </c>
      <c r="M52" s="3" t="s">
        <v>26</v>
      </c>
    </row>
    <row r="53" spans="1:13" ht="15" customHeight="1" x14ac:dyDescent="0.25">
      <c r="A53" s="2" t="s">
        <v>224</v>
      </c>
      <c r="B53" s="2" t="s">
        <v>225</v>
      </c>
      <c r="C53" s="2">
        <v>78</v>
      </c>
      <c r="D53" s="2" t="s">
        <v>40</v>
      </c>
      <c r="E53" s="2" t="s">
        <v>81</v>
      </c>
      <c r="F53" s="2" t="s">
        <v>191</v>
      </c>
      <c r="G53" s="2" t="s">
        <v>20</v>
      </c>
      <c r="H53" s="2" t="s">
        <v>226</v>
      </c>
      <c r="I53" s="2" t="s">
        <v>45</v>
      </c>
      <c r="J53" s="2" t="s">
        <v>53</v>
      </c>
      <c r="K53" s="2" t="s">
        <v>24</v>
      </c>
      <c r="L53" s="2" t="s">
        <v>37</v>
      </c>
      <c r="M53" s="2" t="s">
        <v>63</v>
      </c>
    </row>
    <row r="54" spans="1:13" ht="15" customHeight="1" x14ac:dyDescent="0.25">
      <c r="A54" s="3" t="s">
        <v>227</v>
      </c>
      <c r="B54" s="3" t="s">
        <v>228</v>
      </c>
      <c r="C54" s="3">
        <v>77</v>
      </c>
      <c r="D54" s="3" t="s">
        <v>17</v>
      </c>
      <c r="E54" s="3" t="s">
        <v>58</v>
      </c>
      <c r="F54" s="3" t="s">
        <v>218</v>
      </c>
      <c r="G54" s="3" t="s">
        <v>43</v>
      </c>
      <c r="H54" s="3" t="s">
        <v>229</v>
      </c>
      <c r="I54" s="3" t="s">
        <v>34</v>
      </c>
      <c r="J54" s="3" t="s">
        <v>62</v>
      </c>
      <c r="K54" s="3" t="s">
        <v>230</v>
      </c>
      <c r="L54" s="3" t="s">
        <v>37</v>
      </c>
      <c r="M54" s="3" t="s">
        <v>54</v>
      </c>
    </row>
    <row r="55" spans="1:13" ht="15" customHeight="1" x14ac:dyDescent="0.25">
      <c r="A55" s="2" t="s">
        <v>231</v>
      </c>
      <c r="B55" s="2" t="s">
        <v>232</v>
      </c>
      <c r="C55" s="2">
        <v>63</v>
      </c>
      <c r="D55" s="2" t="s">
        <v>17</v>
      </c>
      <c r="E55" s="2" t="s">
        <v>81</v>
      </c>
      <c r="F55" s="2" t="s">
        <v>191</v>
      </c>
      <c r="G55" s="2" t="s">
        <v>32</v>
      </c>
      <c r="H55" s="2" t="s">
        <v>233</v>
      </c>
      <c r="I55" s="2" t="s">
        <v>45</v>
      </c>
      <c r="J55" s="2" t="s">
        <v>53</v>
      </c>
      <c r="K55" s="2" t="s">
        <v>36</v>
      </c>
      <c r="L55" s="2" t="s">
        <v>37</v>
      </c>
      <c r="M55" s="2" t="s">
        <v>63</v>
      </c>
    </row>
    <row r="56" spans="1:13" ht="15" customHeight="1" x14ac:dyDescent="0.25">
      <c r="A56" s="3" t="s">
        <v>234</v>
      </c>
      <c r="B56" s="3" t="s">
        <v>235</v>
      </c>
      <c r="C56" s="3">
        <v>36</v>
      </c>
      <c r="D56" s="3" t="s">
        <v>17</v>
      </c>
      <c r="E56" s="3" t="s">
        <v>95</v>
      </c>
      <c r="F56" s="3" t="s">
        <v>120</v>
      </c>
      <c r="G56" s="3" t="s">
        <v>50</v>
      </c>
      <c r="H56" s="3" t="s">
        <v>236</v>
      </c>
      <c r="I56" s="3" t="s">
        <v>22</v>
      </c>
      <c r="J56" s="3" t="s">
        <v>35</v>
      </c>
      <c r="K56" s="3" t="s">
        <v>36</v>
      </c>
      <c r="L56" s="3" t="s">
        <v>37</v>
      </c>
      <c r="M56" s="3" t="s">
        <v>54</v>
      </c>
    </row>
    <row r="57" spans="1:13" ht="15" customHeight="1" x14ac:dyDescent="0.25">
      <c r="A57" s="2" t="s">
        <v>237</v>
      </c>
      <c r="B57" s="2" t="s">
        <v>238</v>
      </c>
      <c r="C57" s="2">
        <v>50</v>
      </c>
      <c r="D57" s="2" t="s">
        <v>40</v>
      </c>
      <c r="E57" s="2" t="s">
        <v>58</v>
      </c>
      <c r="F57" s="2" t="s">
        <v>239</v>
      </c>
      <c r="G57" s="2" t="s">
        <v>20</v>
      </c>
      <c r="H57" s="2" t="s">
        <v>240</v>
      </c>
      <c r="I57" s="2" t="s">
        <v>45</v>
      </c>
      <c r="J57" s="2" t="s">
        <v>23</v>
      </c>
      <c r="K57" s="2" t="s">
        <v>36</v>
      </c>
      <c r="L57" s="2" t="s">
        <v>25</v>
      </c>
      <c r="M57" s="2" t="s">
        <v>26</v>
      </c>
    </row>
    <row r="58" spans="1:13" ht="15" customHeight="1" x14ac:dyDescent="0.25">
      <c r="A58" s="3" t="s">
        <v>241</v>
      </c>
      <c r="B58" s="3" t="s">
        <v>242</v>
      </c>
      <c r="C58" s="3">
        <v>76</v>
      </c>
      <c r="D58" s="3" t="s">
        <v>17</v>
      </c>
      <c r="E58" s="3" t="s">
        <v>30</v>
      </c>
      <c r="F58" s="3" t="s">
        <v>103</v>
      </c>
      <c r="G58" s="3" t="s">
        <v>32</v>
      </c>
      <c r="H58" s="3" t="s">
        <v>148</v>
      </c>
      <c r="I58" s="3" t="s">
        <v>34</v>
      </c>
      <c r="J58" s="3" t="s">
        <v>23</v>
      </c>
      <c r="K58" s="3" t="s">
        <v>36</v>
      </c>
      <c r="L58" s="3" t="s">
        <v>37</v>
      </c>
      <c r="M58" s="3" t="s">
        <v>63</v>
      </c>
    </row>
    <row r="59" spans="1:13" ht="15" customHeight="1" x14ac:dyDescent="0.25">
      <c r="A59" s="4" t="s">
        <v>47</v>
      </c>
      <c r="B59" s="4" t="s">
        <v>48</v>
      </c>
      <c r="C59" s="4">
        <v>51</v>
      </c>
      <c r="D59" s="4" t="s">
        <v>17</v>
      </c>
      <c r="E59" s="4" t="s">
        <v>41</v>
      </c>
      <c r="F59" s="4" t="s">
        <v>49</v>
      </c>
      <c r="G59" s="4" t="s">
        <v>50</v>
      </c>
      <c r="H59" s="4" t="s">
        <v>51</v>
      </c>
      <c r="I59" s="4" t="s">
        <v>52</v>
      </c>
      <c r="J59" s="4" t="s">
        <v>53</v>
      </c>
      <c r="K59" s="4" t="s">
        <v>24</v>
      </c>
      <c r="L59" s="4" t="s">
        <v>37</v>
      </c>
      <c r="M59" s="4" t="s">
        <v>54</v>
      </c>
    </row>
    <row r="60" spans="1:13" ht="15" customHeight="1" x14ac:dyDescent="0.25">
      <c r="A60" s="3" t="s">
        <v>243</v>
      </c>
      <c r="B60" s="3" t="s">
        <v>244</v>
      </c>
      <c r="C60" s="3">
        <v>29</v>
      </c>
      <c r="D60" s="3" t="s">
        <v>40</v>
      </c>
      <c r="E60" s="3" t="s">
        <v>41</v>
      </c>
      <c r="F60" s="3" t="s">
        <v>245</v>
      </c>
      <c r="G60" s="3" t="s">
        <v>50</v>
      </c>
      <c r="H60" s="3" t="s">
        <v>246</v>
      </c>
      <c r="I60" s="3" t="s">
        <v>52</v>
      </c>
      <c r="J60" s="3" t="s">
        <v>53</v>
      </c>
      <c r="K60" s="3" t="s">
        <v>24</v>
      </c>
      <c r="L60" s="3" t="s">
        <v>114</v>
      </c>
      <c r="M60" s="3" t="s">
        <v>63</v>
      </c>
    </row>
    <row r="61" spans="1:13" ht="15" customHeight="1" x14ac:dyDescent="0.25">
      <c r="A61" s="2" t="s">
        <v>247</v>
      </c>
      <c r="B61" s="2" t="s">
        <v>248</v>
      </c>
      <c r="C61" s="2">
        <v>29</v>
      </c>
      <c r="D61" s="2" t="s">
        <v>40</v>
      </c>
      <c r="E61" s="2" t="s">
        <v>70</v>
      </c>
      <c r="F61" s="2" t="s">
        <v>201</v>
      </c>
      <c r="G61" s="2" t="s">
        <v>91</v>
      </c>
      <c r="H61" s="2" t="s">
        <v>249</v>
      </c>
      <c r="I61" s="2" t="s">
        <v>52</v>
      </c>
      <c r="J61" s="2" t="s">
        <v>35</v>
      </c>
      <c r="K61" s="2" t="s">
        <v>24</v>
      </c>
      <c r="L61" s="2" t="s">
        <v>37</v>
      </c>
      <c r="M61" s="2" t="s">
        <v>26</v>
      </c>
    </row>
    <row r="62" spans="1:13" ht="15" customHeight="1" x14ac:dyDescent="0.25">
      <c r="A62" s="3" t="s">
        <v>250</v>
      </c>
      <c r="B62" s="3" t="s">
        <v>251</v>
      </c>
      <c r="C62" s="3">
        <v>21</v>
      </c>
      <c r="D62" s="3" t="s">
        <v>40</v>
      </c>
      <c r="E62" s="3" t="s">
        <v>41</v>
      </c>
      <c r="F62" s="3" t="s">
        <v>49</v>
      </c>
      <c r="G62" s="3" t="s">
        <v>20</v>
      </c>
      <c r="H62" s="3" t="s">
        <v>252</v>
      </c>
      <c r="I62" s="3" t="s">
        <v>52</v>
      </c>
      <c r="J62" s="3" t="s">
        <v>53</v>
      </c>
      <c r="K62" s="3" t="s">
        <v>36</v>
      </c>
      <c r="L62" s="3" t="s">
        <v>114</v>
      </c>
      <c r="M62" s="3" t="s">
        <v>26</v>
      </c>
    </row>
    <row r="63" spans="1:13" ht="15" customHeight="1" x14ac:dyDescent="0.25">
      <c r="A63" s="2" t="s">
        <v>253</v>
      </c>
      <c r="B63" s="2" t="s">
        <v>254</v>
      </c>
      <c r="C63" s="2">
        <v>66</v>
      </c>
      <c r="D63" s="2" t="s">
        <v>17</v>
      </c>
      <c r="E63" s="2" t="s">
        <v>41</v>
      </c>
      <c r="F63" s="2" t="s">
        <v>255</v>
      </c>
      <c r="G63" s="2" t="s">
        <v>32</v>
      </c>
      <c r="H63" s="2" t="s">
        <v>256</v>
      </c>
      <c r="I63" s="2" t="s">
        <v>34</v>
      </c>
      <c r="J63" s="2" t="s">
        <v>23</v>
      </c>
      <c r="K63" s="2" t="s">
        <v>36</v>
      </c>
      <c r="L63" s="2" t="s">
        <v>37</v>
      </c>
      <c r="M63" s="2" t="s">
        <v>63</v>
      </c>
    </row>
    <row r="64" spans="1:13" ht="15" customHeight="1" x14ac:dyDescent="0.25">
      <c r="A64" s="3" t="s">
        <v>257</v>
      </c>
      <c r="B64" s="3" t="s">
        <v>258</v>
      </c>
      <c r="C64" s="3">
        <v>20</v>
      </c>
      <c r="D64" s="3" t="s">
        <v>40</v>
      </c>
      <c r="E64" s="3" t="s">
        <v>76</v>
      </c>
      <c r="F64" s="3" t="s">
        <v>259</v>
      </c>
      <c r="G64" s="3" t="s">
        <v>32</v>
      </c>
      <c r="H64" s="3" t="s">
        <v>260</v>
      </c>
      <c r="I64" s="3" t="s">
        <v>22</v>
      </c>
      <c r="J64" s="3" t="s">
        <v>53</v>
      </c>
      <c r="K64" s="3" t="s">
        <v>24</v>
      </c>
      <c r="L64" s="3" t="s">
        <v>114</v>
      </c>
      <c r="M64" s="3" t="s">
        <v>54</v>
      </c>
    </row>
    <row r="65" spans="1:13" ht="15" customHeight="1" x14ac:dyDescent="0.25">
      <c r="A65" s="2" t="s">
        <v>261</v>
      </c>
      <c r="B65" s="2" t="s">
        <v>262</v>
      </c>
      <c r="C65" s="2">
        <v>17</v>
      </c>
      <c r="D65" s="2" t="s">
        <v>17</v>
      </c>
      <c r="E65" s="2" t="s">
        <v>70</v>
      </c>
      <c r="F65" s="2" t="s">
        <v>201</v>
      </c>
      <c r="G65" s="2" t="s">
        <v>20</v>
      </c>
      <c r="H65" s="2" t="s">
        <v>263</v>
      </c>
      <c r="I65" s="2" t="s">
        <v>34</v>
      </c>
      <c r="J65" s="2" t="s">
        <v>35</v>
      </c>
      <c r="K65" s="2" t="s">
        <v>36</v>
      </c>
      <c r="L65" s="2" t="s">
        <v>114</v>
      </c>
      <c r="M65" s="2" t="s">
        <v>26</v>
      </c>
    </row>
    <row r="66" spans="1:13" ht="15" customHeight="1" x14ac:dyDescent="0.25">
      <c r="A66" s="3" t="s">
        <v>264</v>
      </c>
      <c r="B66" s="3" t="s">
        <v>265</v>
      </c>
      <c r="C66" s="3">
        <v>81</v>
      </c>
      <c r="D66" s="3" t="s">
        <v>40</v>
      </c>
      <c r="E66" s="3" t="s">
        <v>95</v>
      </c>
      <c r="F66" s="3" t="s">
        <v>166</v>
      </c>
      <c r="G66" s="3" t="s">
        <v>50</v>
      </c>
      <c r="H66" s="3" t="s">
        <v>266</v>
      </c>
      <c r="I66" s="3" t="s">
        <v>52</v>
      </c>
      <c r="J66" s="3" t="s">
        <v>23</v>
      </c>
      <c r="K66" s="3" t="s">
        <v>36</v>
      </c>
      <c r="L66" s="3" t="s">
        <v>114</v>
      </c>
      <c r="M66" s="3" t="s">
        <v>63</v>
      </c>
    </row>
    <row r="67" spans="1:13" ht="15" customHeight="1" x14ac:dyDescent="0.25">
      <c r="A67" s="2" t="s">
        <v>267</v>
      </c>
      <c r="B67" s="2" t="s">
        <v>268</v>
      </c>
      <c r="C67" s="2">
        <v>80</v>
      </c>
      <c r="D67" s="2" t="s">
        <v>17</v>
      </c>
      <c r="E67" s="2" t="s">
        <v>81</v>
      </c>
      <c r="F67" s="2" t="s">
        <v>162</v>
      </c>
      <c r="G67" s="2" t="s">
        <v>32</v>
      </c>
      <c r="H67" s="2" t="s">
        <v>269</v>
      </c>
      <c r="I67" s="2" t="s">
        <v>52</v>
      </c>
      <c r="J67" s="2" t="s">
        <v>35</v>
      </c>
      <c r="K67" s="2" t="s">
        <v>24</v>
      </c>
      <c r="L67" s="2" t="s">
        <v>37</v>
      </c>
      <c r="M67" s="2" t="s">
        <v>26</v>
      </c>
    </row>
    <row r="68" spans="1:13" ht="15" customHeight="1" x14ac:dyDescent="0.25">
      <c r="A68" s="3" t="s">
        <v>270</v>
      </c>
      <c r="B68" s="3" t="s">
        <v>271</v>
      </c>
      <c r="C68" s="3">
        <v>81</v>
      </c>
      <c r="D68" s="3" t="s">
        <v>40</v>
      </c>
      <c r="E68" s="3" t="s">
        <v>30</v>
      </c>
      <c r="F68" s="3" t="s">
        <v>272</v>
      </c>
      <c r="G68" s="3" t="s">
        <v>32</v>
      </c>
      <c r="H68" s="3" t="s">
        <v>273</v>
      </c>
      <c r="I68" s="3" t="s">
        <v>45</v>
      </c>
      <c r="J68" s="3" t="s">
        <v>35</v>
      </c>
      <c r="K68" s="3" t="s">
        <v>24</v>
      </c>
      <c r="L68" s="3" t="s">
        <v>46</v>
      </c>
      <c r="M68" s="3" t="s">
        <v>63</v>
      </c>
    </row>
    <row r="69" spans="1:13" ht="15" customHeight="1" x14ac:dyDescent="0.25">
      <c r="A69" s="2" t="s">
        <v>274</v>
      </c>
      <c r="B69" s="2" t="s">
        <v>275</v>
      </c>
      <c r="C69" s="2">
        <v>83</v>
      </c>
      <c r="D69" s="2" t="s">
        <v>40</v>
      </c>
      <c r="E69" s="2" t="s">
        <v>107</v>
      </c>
      <c r="F69" s="2" t="s">
        <v>107</v>
      </c>
      <c r="G69" s="2" t="s">
        <v>50</v>
      </c>
      <c r="H69" s="2" t="s">
        <v>276</v>
      </c>
      <c r="I69" s="2" t="s">
        <v>45</v>
      </c>
      <c r="J69" s="2" t="s">
        <v>23</v>
      </c>
      <c r="K69" s="2" t="s">
        <v>24</v>
      </c>
      <c r="L69" s="2" t="s">
        <v>114</v>
      </c>
      <c r="M69" s="2" t="s">
        <v>26</v>
      </c>
    </row>
    <row r="70" spans="1:13" ht="15" customHeight="1" x14ac:dyDescent="0.25">
      <c r="A70" s="3" t="s">
        <v>277</v>
      </c>
      <c r="B70" s="3" t="s">
        <v>278</v>
      </c>
      <c r="C70" s="3">
        <v>71</v>
      </c>
      <c r="D70" s="3" t="s">
        <v>40</v>
      </c>
      <c r="E70" s="3" t="s">
        <v>95</v>
      </c>
      <c r="F70" s="3" t="s">
        <v>96</v>
      </c>
      <c r="G70" s="3" t="s">
        <v>20</v>
      </c>
      <c r="H70" s="3" t="s">
        <v>279</v>
      </c>
      <c r="I70" s="3" t="s">
        <v>22</v>
      </c>
      <c r="J70" s="3" t="s">
        <v>53</v>
      </c>
      <c r="K70" s="3" t="s">
        <v>24</v>
      </c>
      <c r="L70" s="3" t="s">
        <v>37</v>
      </c>
      <c r="M70" s="3" t="s">
        <v>54</v>
      </c>
    </row>
    <row r="71" spans="1:13" ht="15" customHeight="1" x14ac:dyDescent="0.25">
      <c r="A71" s="2" t="s">
        <v>280</v>
      </c>
      <c r="B71" s="2" t="s">
        <v>281</v>
      </c>
      <c r="C71" s="2">
        <v>18</v>
      </c>
      <c r="D71" s="2" t="s">
        <v>17</v>
      </c>
      <c r="E71" s="2" t="s">
        <v>58</v>
      </c>
      <c r="F71" s="2" t="s">
        <v>218</v>
      </c>
      <c r="G71" s="2" t="s">
        <v>32</v>
      </c>
      <c r="H71" s="2" t="s">
        <v>282</v>
      </c>
      <c r="I71" s="2" t="s">
        <v>52</v>
      </c>
      <c r="J71" s="2" t="s">
        <v>35</v>
      </c>
      <c r="K71" s="2" t="s">
        <v>36</v>
      </c>
      <c r="L71" s="2" t="s">
        <v>37</v>
      </c>
      <c r="M71" s="2" t="s">
        <v>54</v>
      </c>
    </row>
    <row r="72" spans="1:13" ht="15" customHeight="1" x14ac:dyDescent="0.25">
      <c r="A72" s="3" t="s">
        <v>283</v>
      </c>
      <c r="B72" s="3" t="s">
        <v>284</v>
      </c>
      <c r="C72" s="3">
        <v>19</v>
      </c>
      <c r="D72" s="3" t="s">
        <v>40</v>
      </c>
      <c r="E72" s="3" t="s">
        <v>18</v>
      </c>
      <c r="F72" s="3" t="s">
        <v>19</v>
      </c>
      <c r="G72" s="3" t="s">
        <v>32</v>
      </c>
      <c r="H72" s="3" t="s">
        <v>285</v>
      </c>
      <c r="I72" s="3" t="s">
        <v>22</v>
      </c>
      <c r="J72" s="3" t="s">
        <v>23</v>
      </c>
      <c r="K72" s="3" t="s">
        <v>36</v>
      </c>
      <c r="L72" s="3" t="s">
        <v>46</v>
      </c>
      <c r="M72" s="3" t="s">
        <v>54</v>
      </c>
    </row>
    <row r="73" spans="1:13" ht="15" customHeight="1" x14ac:dyDescent="0.25">
      <c r="A73" s="2" t="s">
        <v>286</v>
      </c>
      <c r="B73" s="2" t="s">
        <v>287</v>
      </c>
      <c r="C73" s="2">
        <v>61</v>
      </c>
      <c r="D73" s="2" t="s">
        <v>17</v>
      </c>
      <c r="E73" s="2" t="s">
        <v>70</v>
      </c>
      <c r="F73" s="2" t="s">
        <v>201</v>
      </c>
      <c r="G73" s="2" t="s">
        <v>32</v>
      </c>
      <c r="H73" s="2" t="s">
        <v>288</v>
      </c>
      <c r="I73" s="2" t="s">
        <v>34</v>
      </c>
      <c r="J73" s="2" t="s">
        <v>53</v>
      </c>
      <c r="K73" s="2" t="s">
        <v>36</v>
      </c>
      <c r="L73" s="2" t="s">
        <v>114</v>
      </c>
      <c r="M73" s="2" t="s">
        <v>26</v>
      </c>
    </row>
    <row r="74" spans="1:13" ht="15" customHeight="1" x14ac:dyDescent="0.25">
      <c r="A74" s="3" t="s">
        <v>289</v>
      </c>
      <c r="B74" s="3" t="s">
        <v>290</v>
      </c>
      <c r="C74" s="3">
        <v>25</v>
      </c>
      <c r="D74" s="3" t="s">
        <v>40</v>
      </c>
      <c r="E74" s="3" t="s">
        <v>18</v>
      </c>
      <c r="F74" s="3" t="s">
        <v>19</v>
      </c>
      <c r="G74" s="3" t="s">
        <v>32</v>
      </c>
      <c r="H74" s="3" t="s">
        <v>291</v>
      </c>
      <c r="I74" s="3" t="s">
        <v>22</v>
      </c>
      <c r="J74" s="3" t="s">
        <v>53</v>
      </c>
      <c r="K74" s="3" t="s">
        <v>24</v>
      </c>
      <c r="L74" s="3" t="s">
        <v>37</v>
      </c>
      <c r="M74" s="3" t="s">
        <v>26</v>
      </c>
    </row>
    <row r="75" spans="1:13" ht="15" customHeight="1" x14ac:dyDescent="0.25">
      <c r="A75" s="2" t="s">
        <v>292</v>
      </c>
      <c r="B75" s="2" t="s">
        <v>293</v>
      </c>
      <c r="C75" s="2">
        <v>42</v>
      </c>
      <c r="D75" s="2" t="s">
        <v>40</v>
      </c>
      <c r="E75" s="2" t="s">
        <v>81</v>
      </c>
      <c r="F75" s="2" t="s">
        <v>82</v>
      </c>
      <c r="G75" s="2" t="s">
        <v>32</v>
      </c>
      <c r="H75" s="2" t="s">
        <v>294</v>
      </c>
      <c r="I75" s="2" t="s">
        <v>52</v>
      </c>
      <c r="J75" s="2" t="s">
        <v>35</v>
      </c>
      <c r="K75" s="2" t="s">
        <v>24</v>
      </c>
      <c r="L75" s="2" t="s">
        <v>25</v>
      </c>
      <c r="M75" s="2" t="s">
        <v>63</v>
      </c>
    </row>
    <row r="76" spans="1:13" ht="15" customHeight="1" x14ac:dyDescent="0.25">
      <c r="A76" s="3" t="s">
        <v>295</v>
      </c>
      <c r="B76" s="3" t="s">
        <v>296</v>
      </c>
      <c r="C76" s="3">
        <v>13</v>
      </c>
      <c r="D76" s="3" t="s">
        <v>40</v>
      </c>
      <c r="E76" s="3" t="s">
        <v>81</v>
      </c>
      <c r="F76" s="3" t="s">
        <v>297</v>
      </c>
      <c r="G76" s="3" t="s">
        <v>32</v>
      </c>
      <c r="H76" s="3" t="s">
        <v>298</v>
      </c>
      <c r="I76" s="3" t="s">
        <v>52</v>
      </c>
      <c r="J76" s="3" t="s">
        <v>23</v>
      </c>
      <c r="K76" s="3" t="s">
        <v>24</v>
      </c>
      <c r="L76" s="3" t="s">
        <v>37</v>
      </c>
      <c r="M76" s="3" t="s">
        <v>63</v>
      </c>
    </row>
    <row r="77" spans="1:13" ht="15" customHeight="1" x14ac:dyDescent="0.25">
      <c r="A77" s="2" t="s">
        <v>299</v>
      </c>
      <c r="B77" s="2" t="s">
        <v>300</v>
      </c>
      <c r="C77" s="2">
        <v>24</v>
      </c>
      <c r="D77" s="2" t="s">
        <v>40</v>
      </c>
      <c r="E77" s="2" t="s">
        <v>18</v>
      </c>
      <c r="F77" s="2" t="s">
        <v>126</v>
      </c>
      <c r="G77" s="2" t="s">
        <v>43</v>
      </c>
      <c r="H77" s="2" t="s">
        <v>301</v>
      </c>
      <c r="I77" s="2" t="s">
        <v>52</v>
      </c>
      <c r="J77" s="2" t="s">
        <v>35</v>
      </c>
      <c r="K77" s="2" t="s">
        <v>36</v>
      </c>
      <c r="L77" s="2" t="s">
        <v>114</v>
      </c>
      <c r="M77" s="2" t="s">
        <v>26</v>
      </c>
    </row>
    <row r="78" spans="1:13" ht="15" customHeight="1" x14ac:dyDescent="0.25">
      <c r="A78" s="3" t="s">
        <v>302</v>
      </c>
      <c r="B78" s="3" t="s">
        <v>303</v>
      </c>
      <c r="C78" s="3">
        <v>34</v>
      </c>
      <c r="D78" s="3" t="s">
        <v>40</v>
      </c>
      <c r="E78" s="3" t="s">
        <v>107</v>
      </c>
      <c r="F78" s="3" t="s">
        <v>154</v>
      </c>
      <c r="G78" s="3" t="s">
        <v>32</v>
      </c>
      <c r="H78" s="3" t="s">
        <v>304</v>
      </c>
      <c r="I78" s="3" t="s">
        <v>45</v>
      </c>
      <c r="J78" s="3" t="s">
        <v>35</v>
      </c>
      <c r="K78" s="3" t="s">
        <v>24</v>
      </c>
      <c r="L78" s="3" t="s">
        <v>37</v>
      </c>
      <c r="M78" s="3" t="s">
        <v>54</v>
      </c>
    </row>
    <row r="79" spans="1:13" ht="15" customHeight="1" x14ac:dyDescent="0.25">
      <c r="A79" s="2" t="s">
        <v>305</v>
      </c>
      <c r="B79" s="2" t="s">
        <v>306</v>
      </c>
      <c r="C79" s="2">
        <v>80</v>
      </c>
      <c r="D79" s="2" t="s">
        <v>40</v>
      </c>
      <c r="E79" s="2" t="s">
        <v>41</v>
      </c>
      <c r="F79" s="2" t="s">
        <v>255</v>
      </c>
      <c r="G79" s="2" t="s">
        <v>20</v>
      </c>
      <c r="H79" s="2" t="s">
        <v>307</v>
      </c>
      <c r="I79" s="2" t="s">
        <v>22</v>
      </c>
      <c r="J79" s="2" t="s">
        <v>23</v>
      </c>
      <c r="K79" s="2" t="s">
        <v>36</v>
      </c>
      <c r="L79" s="2" t="s">
        <v>37</v>
      </c>
      <c r="M79" s="2" t="s">
        <v>63</v>
      </c>
    </row>
    <row r="80" spans="1:13" ht="15" customHeight="1" x14ac:dyDescent="0.25">
      <c r="A80" s="3" t="s">
        <v>308</v>
      </c>
      <c r="B80" s="3" t="s">
        <v>309</v>
      </c>
      <c r="C80" s="3">
        <v>38</v>
      </c>
      <c r="D80" s="3" t="s">
        <v>40</v>
      </c>
      <c r="E80" s="3" t="s">
        <v>76</v>
      </c>
      <c r="F80" s="3" t="s">
        <v>77</v>
      </c>
      <c r="G80" s="3" t="s">
        <v>20</v>
      </c>
      <c r="H80" s="3" t="s">
        <v>310</v>
      </c>
      <c r="I80" s="3" t="s">
        <v>52</v>
      </c>
      <c r="J80" s="3" t="s">
        <v>35</v>
      </c>
      <c r="K80" s="3" t="s">
        <v>36</v>
      </c>
      <c r="L80" s="3" t="s">
        <v>37</v>
      </c>
      <c r="M80" s="3" t="s">
        <v>63</v>
      </c>
    </row>
    <row r="81" spans="1:13" ht="15" customHeight="1" x14ac:dyDescent="0.25">
      <c r="A81" s="2" t="s">
        <v>311</v>
      </c>
      <c r="B81" s="2" t="s">
        <v>312</v>
      </c>
      <c r="C81" s="2">
        <v>10</v>
      </c>
      <c r="D81" s="2" t="s">
        <v>40</v>
      </c>
      <c r="E81" s="2" t="s">
        <v>41</v>
      </c>
      <c r="F81" s="2" t="s">
        <v>49</v>
      </c>
      <c r="G81" s="2" t="s">
        <v>32</v>
      </c>
      <c r="H81" s="2" t="s">
        <v>33</v>
      </c>
      <c r="I81" s="2" t="s">
        <v>34</v>
      </c>
      <c r="J81" s="2" t="s">
        <v>23</v>
      </c>
      <c r="K81" s="2" t="s">
        <v>36</v>
      </c>
      <c r="L81" s="2" t="s">
        <v>37</v>
      </c>
      <c r="M81" s="2" t="s">
        <v>54</v>
      </c>
    </row>
    <row r="82" spans="1:13" ht="15" customHeight="1" x14ac:dyDescent="0.25">
      <c r="A82" s="3" t="s">
        <v>313</v>
      </c>
      <c r="B82" s="3" t="s">
        <v>314</v>
      </c>
      <c r="C82" s="3">
        <v>60</v>
      </c>
      <c r="D82" s="3" t="s">
        <v>17</v>
      </c>
      <c r="E82" s="3" t="s">
        <v>70</v>
      </c>
      <c r="F82" s="3" t="s">
        <v>71</v>
      </c>
      <c r="G82" s="3" t="s">
        <v>20</v>
      </c>
      <c r="H82" s="3" t="s">
        <v>315</v>
      </c>
      <c r="I82" s="3" t="s">
        <v>45</v>
      </c>
      <c r="J82" s="3" t="s">
        <v>35</v>
      </c>
      <c r="K82" s="3" t="s">
        <v>36</v>
      </c>
      <c r="L82" s="3" t="s">
        <v>37</v>
      </c>
      <c r="M82" s="3" t="s">
        <v>26</v>
      </c>
    </row>
    <row r="83" spans="1:13" ht="15" customHeight="1" x14ac:dyDescent="0.25">
      <c r="A83" s="2" t="s">
        <v>316</v>
      </c>
      <c r="B83" s="2" t="s">
        <v>317</v>
      </c>
      <c r="C83" s="2">
        <v>35</v>
      </c>
      <c r="D83" s="2" t="s">
        <v>40</v>
      </c>
      <c r="E83" s="2" t="s">
        <v>76</v>
      </c>
      <c r="F83" s="2" t="s">
        <v>259</v>
      </c>
      <c r="G83" s="2" t="s">
        <v>50</v>
      </c>
      <c r="H83" s="2" t="s">
        <v>318</v>
      </c>
      <c r="I83" s="2" t="s">
        <v>22</v>
      </c>
      <c r="J83" s="2" t="s">
        <v>23</v>
      </c>
      <c r="K83" s="2" t="s">
        <v>36</v>
      </c>
      <c r="L83" s="2" t="s">
        <v>37</v>
      </c>
      <c r="M83" s="2" t="s">
        <v>63</v>
      </c>
    </row>
    <row r="84" spans="1:13" ht="15" customHeight="1" x14ac:dyDescent="0.25">
      <c r="A84" s="3" t="s">
        <v>319</v>
      </c>
      <c r="B84" s="3" t="s">
        <v>320</v>
      </c>
      <c r="C84" s="3">
        <v>41</v>
      </c>
      <c r="D84" s="3" t="s">
        <v>17</v>
      </c>
      <c r="E84" s="3" t="s">
        <v>41</v>
      </c>
      <c r="F84" s="3" t="s">
        <v>255</v>
      </c>
      <c r="G84" s="3" t="s">
        <v>43</v>
      </c>
      <c r="H84" s="3" t="s">
        <v>321</v>
      </c>
      <c r="I84" s="3" t="s">
        <v>45</v>
      </c>
      <c r="J84" s="3" t="s">
        <v>35</v>
      </c>
      <c r="K84" s="3" t="s">
        <v>24</v>
      </c>
      <c r="L84" s="3" t="s">
        <v>37</v>
      </c>
      <c r="M84" s="3" t="s">
        <v>54</v>
      </c>
    </row>
    <row r="85" spans="1:13" ht="15" customHeight="1" x14ac:dyDescent="0.25">
      <c r="A85" s="2" t="s">
        <v>322</v>
      </c>
      <c r="B85" s="2" t="s">
        <v>323</v>
      </c>
      <c r="C85" s="2">
        <v>18</v>
      </c>
      <c r="D85" s="2" t="s">
        <v>17</v>
      </c>
      <c r="E85" s="2" t="s">
        <v>81</v>
      </c>
      <c r="F85" s="2" t="s">
        <v>297</v>
      </c>
      <c r="G85" s="2" t="s">
        <v>20</v>
      </c>
      <c r="H85" s="2" t="s">
        <v>266</v>
      </c>
      <c r="I85" s="2" t="s">
        <v>52</v>
      </c>
      <c r="J85" s="2" t="s">
        <v>23</v>
      </c>
      <c r="K85" s="2" t="s">
        <v>36</v>
      </c>
      <c r="L85" s="2" t="s">
        <v>37</v>
      </c>
      <c r="M85" s="2" t="s">
        <v>54</v>
      </c>
    </row>
    <row r="86" spans="1:13" ht="15" customHeight="1" x14ac:dyDescent="0.25">
      <c r="A86" s="3" t="s">
        <v>324</v>
      </c>
      <c r="B86" s="3" t="s">
        <v>325</v>
      </c>
      <c r="C86" s="3">
        <v>11</v>
      </c>
      <c r="D86" s="3" t="s">
        <v>40</v>
      </c>
      <c r="E86" s="3" t="s">
        <v>95</v>
      </c>
      <c r="F86" s="3" t="s">
        <v>96</v>
      </c>
      <c r="G86" s="3" t="s">
        <v>20</v>
      </c>
      <c r="H86" s="3" t="s">
        <v>326</v>
      </c>
      <c r="I86" s="3" t="s">
        <v>52</v>
      </c>
      <c r="J86" s="3" t="s">
        <v>53</v>
      </c>
      <c r="K86" s="3" t="s">
        <v>24</v>
      </c>
      <c r="L86" s="3" t="s">
        <v>37</v>
      </c>
      <c r="M86" s="3" t="s">
        <v>63</v>
      </c>
    </row>
    <row r="87" spans="1:13" ht="15" customHeight="1" x14ac:dyDescent="0.25">
      <c r="A87" s="2" t="s">
        <v>327</v>
      </c>
      <c r="B87" s="2" t="s">
        <v>328</v>
      </c>
      <c r="C87" s="2">
        <v>22</v>
      </c>
      <c r="D87" s="2" t="s">
        <v>17</v>
      </c>
      <c r="E87" s="2" t="s">
        <v>107</v>
      </c>
      <c r="F87" s="2" t="s">
        <v>154</v>
      </c>
      <c r="G87" s="2" t="s">
        <v>32</v>
      </c>
      <c r="H87" s="2" t="s">
        <v>329</v>
      </c>
      <c r="I87" s="2" t="s">
        <v>34</v>
      </c>
      <c r="J87" s="2" t="s">
        <v>62</v>
      </c>
      <c r="K87" s="2" t="s">
        <v>36</v>
      </c>
      <c r="L87" s="2" t="s">
        <v>114</v>
      </c>
      <c r="M87" s="2" t="s">
        <v>54</v>
      </c>
    </row>
    <row r="88" spans="1:13" ht="15" customHeight="1" x14ac:dyDescent="0.25">
      <c r="A88" s="3" t="s">
        <v>330</v>
      </c>
      <c r="B88" s="3" t="s">
        <v>331</v>
      </c>
      <c r="C88" s="3">
        <v>30</v>
      </c>
      <c r="D88" s="3" t="s">
        <v>17</v>
      </c>
      <c r="E88" s="3" t="s">
        <v>18</v>
      </c>
      <c r="F88" s="3" t="s">
        <v>144</v>
      </c>
      <c r="G88" s="3" t="s">
        <v>32</v>
      </c>
      <c r="H88" s="3" t="s">
        <v>332</v>
      </c>
      <c r="I88" s="3" t="s">
        <v>22</v>
      </c>
      <c r="J88" s="3" t="s">
        <v>35</v>
      </c>
      <c r="K88" s="3" t="s">
        <v>24</v>
      </c>
      <c r="L88" s="3" t="s">
        <v>37</v>
      </c>
      <c r="M88" s="3" t="s">
        <v>54</v>
      </c>
    </row>
    <row r="89" spans="1:13" ht="15" customHeight="1" x14ac:dyDescent="0.25">
      <c r="A89" s="2" t="s">
        <v>333</v>
      </c>
      <c r="B89" s="2" t="s">
        <v>334</v>
      </c>
      <c r="C89" s="2">
        <v>19</v>
      </c>
      <c r="D89" s="2" t="s">
        <v>40</v>
      </c>
      <c r="E89" s="2" t="s">
        <v>41</v>
      </c>
      <c r="F89" s="2" t="s">
        <v>245</v>
      </c>
      <c r="G89" s="2" t="s">
        <v>50</v>
      </c>
      <c r="H89" s="2" t="s">
        <v>335</v>
      </c>
      <c r="I89" s="2" t="s">
        <v>45</v>
      </c>
      <c r="J89" s="2" t="s">
        <v>35</v>
      </c>
      <c r="K89" s="2" t="s">
        <v>36</v>
      </c>
      <c r="L89" s="2" t="s">
        <v>114</v>
      </c>
      <c r="M89" s="2" t="s">
        <v>26</v>
      </c>
    </row>
    <row r="90" spans="1:13" ht="15" customHeight="1" x14ac:dyDescent="0.25">
      <c r="A90" s="3" t="s">
        <v>336</v>
      </c>
      <c r="B90" s="3" t="s">
        <v>337</v>
      </c>
      <c r="C90" s="3">
        <v>20</v>
      </c>
      <c r="D90" s="3" t="s">
        <v>40</v>
      </c>
      <c r="E90" s="3" t="s">
        <v>58</v>
      </c>
      <c r="F90" s="3" t="s">
        <v>239</v>
      </c>
      <c r="G90" s="3" t="s">
        <v>20</v>
      </c>
      <c r="H90" s="3" t="s">
        <v>338</v>
      </c>
      <c r="I90" s="3" t="s">
        <v>22</v>
      </c>
      <c r="J90" s="3" t="s">
        <v>62</v>
      </c>
      <c r="K90" s="3" t="s">
        <v>24</v>
      </c>
      <c r="L90" s="3" t="s">
        <v>25</v>
      </c>
      <c r="M90" s="3" t="s">
        <v>54</v>
      </c>
    </row>
    <row r="91" spans="1:13" ht="15" customHeight="1" x14ac:dyDescent="0.25">
      <c r="A91" s="2" t="s">
        <v>339</v>
      </c>
      <c r="B91" s="2" t="s">
        <v>340</v>
      </c>
      <c r="C91" s="2">
        <v>76</v>
      </c>
      <c r="D91" s="2" t="s">
        <v>40</v>
      </c>
      <c r="E91" s="2" t="s">
        <v>76</v>
      </c>
      <c r="F91" s="2" t="s">
        <v>259</v>
      </c>
      <c r="G91" s="2" t="s">
        <v>20</v>
      </c>
      <c r="H91" s="2" t="s">
        <v>276</v>
      </c>
      <c r="I91" s="2" t="s">
        <v>45</v>
      </c>
      <c r="J91" s="2" t="s">
        <v>53</v>
      </c>
      <c r="K91" s="2" t="s">
        <v>24</v>
      </c>
      <c r="L91" s="2" t="s">
        <v>37</v>
      </c>
      <c r="M91" s="2" t="s">
        <v>26</v>
      </c>
    </row>
    <row r="92" spans="1:13" ht="15" customHeight="1" x14ac:dyDescent="0.25">
      <c r="A92" s="3" t="s">
        <v>341</v>
      </c>
      <c r="B92" s="3" t="s">
        <v>342</v>
      </c>
      <c r="C92" s="3">
        <v>43</v>
      </c>
      <c r="D92" s="3" t="s">
        <v>40</v>
      </c>
      <c r="E92" s="3" t="s">
        <v>41</v>
      </c>
      <c r="F92" s="3" t="s">
        <v>49</v>
      </c>
      <c r="G92" s="3" t="s">
        <v>50</v>
      </c>
      <c r="H92" s="3" t="s">
        <v>343</v>
      </c>
      <c r="I92" s="3" t="s">
        <v>22</v>
      </c>
      <c r="J92" s="3" t="s">
        <v>35</v>
      </c>
      <c r="K92" s="3" t="s">
        <v>36</v>
      </c>
      <c r="L92" s="3" t="s">
        <v>114</v>
      </c>
      <c r="M92" s="3" t="s">
        <v>63</v>
      </c>
    </row>
    <row r="93" spans="1:13" ht="15" customHeight="1" x14ac:dyDescent="0.25">
      <c r="A93" s="2" t="s">
        <v>344</v>
      </c>
      <c r="B93" s="2" t="s">
        <v>345</v>
      </c>
      <c r="C93" s="2">
        <v>58</v>
      </c>
      <c r="D93" s="2" t="s">
        <v>17</v>
      </c>
      <c r="E93" s="2" t="s">
        <v>81</v>
      </c>
      <c r="F93" s="2" t="s">
        <v>162</v>
      </c>
      <c r="G93" s="2" t="s">
        <v>32</v>
      </c>
      <c r="H93" s="2" t="s">
        <v>346</v>
      </c>
      <c r="I93" s="2" t="s">
        <v>45</v>
      </c>
      <c r="J93" s="2" t="s">
        <v>23</v>
      </c>
      <c r="K93" s="2" t="s">
        <v>36</v>
      </c>
      <c r="L93" s="2" t="s">
        <v>114</v>
      </c>
      <c r="M93" s="2" t="s">
        <v>26</v>
      </c>
    </row>
    <row r="94" spans="1:13" ht="15" customHeight="1" x14ac:dyDescent="0.25">
      <c r="A94" s="3" t="s">
        <v>347</v>
      </c>
      <c r="B94" s="3" t="s">
        <v>348</v>
      </c>
      <c r="C94" s="3">
        <v>51</v>
      </c>
      <c r="D94" s="3" t="s">
        <v>17</v>
      </c>
      <c r="E94" s="3" t="s">
        <v>58</v>
      </c>
      <c r="F94" s="3" t="s">
        <v>239</v>
      </c>
      <c r="G94" s="3" t="s">
        <v>32</v>
      </c>
      <c r="H94" s="3" t="s">
        <v>219</v>
      </c>
      <c r="I94" s="3" t="s">
        <v>22</v>
      </c>
      <c r="J94" s="3" t="s">
        <v>53</v>
      </c>
      <c r="K94" s="3" t="s">
        <v>24</v>
      </c>
      <c r="L94" s="3" t="s">
        <v>37</v>
      </c>
      <c r="M94" s="3" t="s">
        <v>26</v>
      </c>
    </row>
    <row r="95" spans="1:13" ht="15" customHeight="1" x14ac:dyDescent="0.25">
      <c r="A95" s="2" t="s">
        <v>349</v>
      </c>
      <c r="B95" s="2" t="s">
        <v>350</v>
      </c>
      <c r="C95" s="2">
        <v>81</v>
      </c>
      <c r="D95" s="2" t="s">
        <v>17</v>
      </c>
      <c r="E95" s="2" t="s">
        <v>107</v>
      </c>
      <c r="F95" s="2" t="s">
        <v>154</v>
      </c>
      <c r="G95" s="2" t="s">
        <v>50</v>
      </c>
      <c r="H95" s="2" t="s">
        <v>351</v>
      </c>
      <c r="I95" s="2" t="s">
        <v>34</v>
      </c>
      <c r="J95" s="2" t="s">
        <v>53</v>
      </c>
      <c r="K95" s="2" t="s">
        <v>24</v>
      </c>
      <c r="L95" s="2" t="s">
        <v>46</v>
      </c>
      <c r="M95" s="2" t="s">
        <v>26</v>
      </c>
    </row>
    <row r="96" spans="1:13" ht="15" customHeight="1" x14ac:dyDescent="0.25">
      <c r="A96" s="3" t="s">
        <v>352</v>
      </c>
      <c r="B96" s="3" t="s">
        <v>353</v>
      </c>
      <c r="C96" s="3">
        <v>34</v>
      </c>
      <c r="D96" s="3" t="s">
        <v>40</v>
      </c>
      <c r="E96" s="3" t="s">
        <v>183</v>
      </c>
      <c r="F96" s="3" t="s">
        <v>184</v>
      </c>
      <c r="G96" s="3" t="s">
        <v>60</v>
      </c>
      <c r="H96" s="3" t="s">
        <v>354</v>
      </c>
      <c r="I96" s="3" t="s">
        <v>34</v>
      </c>
      <c r="J96" s="3" t="s">
        <v>23</v>
      </c>
      <c r="K96" s="3" t="s">
        <v>36</v>
      </c>
      <c r="L96" s="3" t="s">
        <v>114</v>
      </c>
      <c r="M96" s="3" t="s">
        <v>63</v>
      </c>
    </row>
    <row r="97" spans="1:13" ht="15" customHeight="1" x14ac:dyDescent="0.25">
      <c r="A97" s="2" t="s">
        <v>355</v>
      </c>
      <c r="B97" s="2" t="s">
        <v>356</v>
      </c>
      <c r="C97" s="2">
        <v>8</v>
      </c>
      <c r="D97" s="2" t="s">
        <v>17</v>
      </c>
      <c r="E97" s="2" t="s">
        <v>95</v>
      </c>
      <c r="F97" s="2" t="s">
        <v>166</v>
      </c>
      <c r="G97" s="2" t="s">
        <v>91</v>
      </c>
      <c r="H97" s="2" t="s">
        <v>357</v>
      </c>
      <c r="I97" s="2" t="s">
        <v>45</v>
      </c>
      <c r="J97" s="2" t="s">
        <v>62</v>
      </c>
      <c r="K97" s="2" t="s">
        <v>24</v>
      </c>
      <c r="L97" s="2" t="s">
        <v>37</v>
      </c>
      <c r="M97" s="2" t="s">
        <v>54</v>
      </c>
    </row>
    <row r="98" spans="1:13" ht="15" customHeight="1" x14ac:dyDescent="0.25">
      <c r="A98" s="3" t="s">
        <v>358</v>
      </c>
      <c r="B98" s="3" t="s">
        <v>359</v>
      </c>
      <c r="C98" s="3">
        <v>18</v>
      </c>
      <c r="D98" s="3" t="s">
        <v>40</v>
      </c>
      <c r="E98" s="3" t="s">
        <v>18</v>
      </c>
      <c r="F98" s="3" t="s">
        <v>66</v>
      </c>
      <c r="G98" s="3" t="s">
        <v>20</v>
      </c>
      <c r="H98" s="3" t="s">
        <v>360</v>
      </c>
      <c r="I98" s="3" t="s">
        <v>34</v>
      </c>
      <c r="J98" s="3" t="s">
        <v>23</v>
      </c>
      <c r="K98" s="3" t="s">
        <v>36</v>
      </c>
      <c r="L98" s="3" t="s">
        <v>37</v>
      </c>
      <c r="M98" s="3" t="s">
        <v>26</v>
      </c>
    </row>
    <row r="99" spans="1:13" ht="15" customHeight="1" x14ac:dyDescent="0.25">
      <c r="A99" s="2" t="s">
        <v>361</v>
      </c>
      <c r="B99" s="2" t="s">
        <v>362</v>
      </c>
      <c r="C99" s="2">
        <v>18</v>
      </c>
      <c r="D99" s="2" t="s">
        <v>40</v>
      </c>
      <c r="E99" s="2" t="s">
        <v>30</v>
      </c>
      <c r="F99" s="2" t="s">
        <v>272</v>
      </c>
      <c r="G99" s="2" t="s">
        <v>20</v>
      </c>
      <c r="H99" s="2" t="s">
        <v>363</v>
      </c>
      <c r="I99" s="2" t="s">
        <v>52</v>
      </c>
      <c r="J99" s="2" t="s">
        <v>35</v>
      </c>
      <c r="K99" s="2" t="s">
        <v>24</v>
      </c>
      <c r="L99" s="2" t="s">
        <v>37</v>
      </c>
      <c r="M99" s="2" t="s">
        <v>54</v>
      </c>
    </row>
    <row r="100" spans="1:13" ht="15" customHeight="1" x14ac:dyDescent="0.25">
      <c r="A100" s="3" t="s">
        <v>364</v>
      </c>
      <c r="B100" s="3" t="s">
        <v>365</v>
      </c>
      <c r="C100" s="3">
        <v>46</v>
      </c>
      <c r="D100" s="3" t="s">
        <v>40</v>
      </c>
      <c r="E100" s="3" t="s">
        <v>76</v>
      </c>
      <c r="F100" s="3" t="s">
        <v>366</v>
      </c>
      <c r="G100" s="3" t="s">
        <v>32</v>
      </c>
      <c r="H100" s="3" t="s">
        <v>367</v>
      </c>
      <c r="I100" s="3" t="s">
        <v>22</v>
      </c>
      <c r="J100" s="3" t="s">
        <v>35</v>
      </c>
      <c r="K100" s="3" t="s">
        <v>24</v>
      </c>
      <c r="L100" s="3" t="s">
        <v>114</v>
      </c>
      <c r="M100" s="3" t="s">
        <v>63</v>
      </c>
    </row>
    <row r="101" spans="1:13" ht="15" customHeight="1" x14ac:dyDescent="0.25">
      <c r="A101" s="2" t="s">
        <v>368</v>
      </c>
      <c r="B101" s="2" t="s">
        <v>369</v>
      </c>
      <c r="C101" s="2">
        <v>32</v>
      </c>
      <c r="D101" s="2" t="s">
        <v>40</v>
      </c>
      <c r="E101" s="2" t="s">
        <v>30</v>
      </c>
      <c r="F101" s="2" t="s">
        <v>211</v>
      </c>
      <c r="G101" s="2" t="s">
        <v>72</v>
      </c>
      <c r="H101" s="2" t="s">
        <v>370</v>
      </c>
      <c r="I101" s="2" t="s">
        <v>52</v>
      </c>
      <c r="J101" s="2" t="s">
        <v>53</v>
      </c>
      <c r="K101" s="2" t="s">
        <v>24</v>
      </c>
      <c r="L101" s="2" t="s">
        <v>37</v>
      </c>
      <c r="M101" s="2" t="s">
        <v>63</v>
      </c>
    </row>
    <row r="102" spans="1:13" ht="15" customHeight="1" x14ac:dyDescent="0.25">
      <c r="A102" s="3" t="s">
        <v>371</v>
      </c>
      <c r="B102" s="3" t="s">
        <v>372</v>
      </c>
      <c r="C102" s="3">
        <v>37</v>
      </c>
      <c r="D102" s="3" t="s">
        <v>40</v>
      </c>
      <c r="E102" s="3" t="s">
        <v>183</v>
      </c>
      <c r="F102" s="3" t="s">
        <v>373</v>
      </c>
      <c r="G102" s="3" t="s">
        <v>20</v>
      </c>
      <c r="H102" s="3" t="s">
        <v>374</v>
      </c>
      <c r="I102" s="3" t="s">
        <v>34</v>
      </c>
      <c r="J102" s="3" t="s">
        <v>62</v>
      </c>
      <c r="K102" s="3" t="s">
        <v>24</v>
      </c>
      <c r="L102" s="3" t="s">
        <v>37</v>
      </c>
      <c r="M102" s="3" t="s">
        <v>26</v>
      </c>
    </row>
    <row r="103" spans="1:13" ht="15" customHeight="1" x14ac:dyDescent="0.25">
      <c r="A103" s="2" t="s">
        <v>375</v>
      </c>
      <c r="B103" s="2" t="s">
        <v>376</v>
      </c>
      <c r="C103" s="2">
        <v>21</v>
      </c>
      <c r="D103" s="2" t="s">
        <v>17</v>
      </c>
      <c r="E103" s="2" t="s">
        <v>76</v>
      </c>
      <c r="F103" s="2" t="s">
        <v>366</v>
      </c>
      <c r="G103" s="2" t="s">
        <v>20</v>
      </c>
      <c r="H103" s="2" t="s">
        <v>170</v>
      </c>
      <c r="I103" s="2" t="s">
        <v>22</v>
      </c>
      <c r="J103" s="2" t="s">
        <v>35</v>
      </c>
      <c r="K103" s="2" t="s">
        <v>36</v>
      </c>
      <c r="L103" s="2" t="s">
        <v>37</v>
      </c>
      <c r="M103" s="2" t="s">
        <v>63</v>
      </c>
    </row>
    <row r="104" spans="1:13" ht="15" customHeight="1" x14ac:dyDescent="0.25">
      <c r="A104" s="3" t="s">
        <v>377</v>
      </c>
      <c r="B104" s="3" t="s">
        <v>378</v>
      </c>
      <c r="C104" s="3">
        <v>69</v>
      </c>
      <c r="D104" s="3" t="s">
        <v>17</v>
      </c>
      <c r="E104" s="3" t="s">
        <v>183</v>
      </c>
      <c r="F104" s="3" t="s">
        <v>373</v>
      </c>
      <c r="G104" s="3" t="s">
        <v>50</v>
      </c>
      <c r="H104" s="3" t="s">
        <v>379</v>
      </c>
      <c r="I104" s="3" t="s">
        <v>34</v>
      </c>
      <c r="J104" s="3" t="s">
        <v>62</v>
      </c>
      <c r="K104" s="3" t="s">
        <v>24</v>
      </c>
      <c r="L104" s="3" t="s">
        <v>37</v>
      </c>
      <c r="M104" s="3" t="s">
        <v>63</v>
      </c>
    </row>
  </sheetData>
  <mergeCells count="2">
    <mergeCell ref="A2:M2"/>
    <mergeCell ref="A1:M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B287C-5D2E-41CA-BDA0-0624AFB78085}">
  <sheetPr>
    <tabColor rgb="FFC0392B"/>
  </sheetPr>
  <dimension ref="A1:M104"/>
  <sheetViews>
    <sheetView topLeftCell="A5" workbookViewId="0">
      <selection activeCell="F12" sqref="A5:M103"/>
    </sheetView>
  </sheetViews>
  <sheetFormatPr defaultRowHeight="15" x14ac:dyDescent="0.25"/>
  <cols>
    <col min="1" max="1" width="12.42578125" customWidth="1"/>
    <col min="2" max="2" width="22" customWidth="1"/>
    <col min="3" max="3" width="6.7109375" customWidth="1"/>
    <col min="4" max="4" width="9.85546875" customWidth="1"/>
    <col min="5" max="6" width="14" customWidth="1"/>
    <col min="7" max="8" width="13" customWidth="1"/>
    <col min="9" max="9" width="14.85546875" customWidth="1"/>
    <col min="10" max="10" width="22" customWidth="1"/>
    <col min="11" max="11" width="13.42578125" customWidth="1"/>
    <col min="12" max="12" width="18" customWidth="1"/>
    <col min="13" max="13" width="12.7109375" customWidth="1"/>
  </cols>
  <sheetData>
    <row r="1" spans="1:13" ht="21.95" customHeight="1" x14ac:dyDescent="0.25">
      <c r="A1" s="11" t="s">
        <v>0</v>
      </c>
      <c r="B1" s="10"/>
      <c r="C1" s="10"/>
      <c r="D1" s="10"/>
      <c r="E1" s="10"/>
      <c r="F1" s="10"/>
      <c r="G1" s="10"/>
      <c r="H1" s="10"/>
      <c r="I1" s="10"/>
      <c r="J1" s="10"/>
      <c r="K1" s="10"/>
      <c r="L1" s="10"/>
      <c r="M1" s="10"/>
    </row>
    <row r="2" spans="1:13" ht="15.95" customHeight="1" x14ac:dyDescent="0.25">
      <c r="A2" s="9" t="s">
        <v>1</v>
      </c>
      <c r="B2" s="10"/>
      <c r="C2" s="10"/>
      <c r="D2" s="10"/>
      <c r="E2" s="10"/>
      <c r="F2" s="10"/>
      <c r="G2" s="10"/>
      <c r="H2" s="10"/>
      <c r="I2" s="10"/>
      <c r="J2" s="10"/>
      <c r="K2" s="10"/>
      <c r="L2" s="10"/>
      <c r="M2" s="10"/>
    </row>
    <row r="3" spans="1:13" ht="6" customHeight="1" x14ac:dyDescent="0.25"/>
    <row r="4" spans="1:13" ht="18" customHeight="1" x14ac:dyDescent="0.25">
      <c r="A4" s="19" t="s">
        <v>2</v>
      </c>
      <c r="B4" s="20" t="s">
        <v>3</v>
      </c>
      <c r="C4" s="20" t="s">
        <v>4</v>
      </c>
      <c r="D4" s="20" t="s">
        <v>5</v>
      </c>
      <c r="E4" s="20" t="s">
        <v>6</v>
      </c>
      <c r="F4" s="20" t="s">
        <v>7</v>
      </c>
      <c r="G4" s="20" t="s">
        <v>8</v>
      </c>
      <c r="H4" s="20" t="s">
        <v>9</v>
      </c>
      <c r="I4" s="20" t="s">
        <v>10</v>
      </c>
      <c r="J4" s="20" t="s">
        <v>11</v>
      </c>
      <c r="K4" s="20" t="s">
        <v>12</v>
      </c>
      <c r="L4" s="20" t="s">
        <v>13</v>
      </c>
      <c r="M4" s="21" t="s">
        <v>14</v>
      </c>
    </row>
    <row r="5" spans="1:13" ht="15" customHeight="1" x14ac:dyDescent="0.25">
      <c r="A5" s="15" t="s">
        <v>15</v>
      </c>
      <c r="B5" s="2" t="s">
        <v>16</v>
      </c>
      <c r="C5" s="2">
        <v>33</v>
      </c>
      <c r="D5" s="2" t="s">
        <v>17</v>
      </c>
      <c r="E5" s="2" t="s">
        <v>18</v>
      </c>
      <c r="F5" s="2" t="s">
        <v>19</v>
      </c>
      <c r="G5" s="2" t="s">
        <v>20</v>
      </c>
      <c r="H5" s="25">
        <v>44964</v>
      </c>
      <c r="I5" s="2" t="s">
        <v>22</v>
      </c>
      <c r="J5" s="2" t="s">
        <v>23</v>
      </c>
      <c r="K5" s="2" t="s">
        <v>24</v>
      </c>
      <c r="L5" s="2" t="s">
        <v>25</v>
      </c>
      <c r="M5" s="17" t="s">
        <v>26</v>
      </c>
    </row>
    <row r="6" spans="1:13" ht="15" customHeight="1" x14ac:dyDescent="0.25">
      <c r="A6" s="16" t="s">
        <v>27</v>
      </c>
      <c r="B6" s="3" t="s">
        <v>28</v>
      </c>
      <c r="C6" s="3" t="s">
        <v>63</v>
      </c>
      <c r="D6" s="2" t="s">
        <v>17</v>
      </c>
      <c r="E6" s="3" t="s">
        <v>30</v>
      </c>
      <c r="F6" s="3" t="s">
        <v>31</v>
      </c>
      <c r="G6" s="3" t="s">
        <v>32</v>
      </c>
      <c r="H6" s="26">
        <v>45008</v>
      </c>
      <c r="I6" s="3" t="s">
        <v>34</v>
      </c>
      <c r="J6" s="3" t="s">
        <v>35</v>
      </c>
      <c r="K6" s="3" t="s">
        <v>36</v>
      </c>
      <c r="L6" s="3" t="s">
        <v>37</v>
      </c>
      <c r="M6" s="18" t="s">
        <v>26</v>
      </c>
    </row>
    <row r="7" spans="1:13" ht="15" customHeight="1" x14ac:dyDescent="0.25">
      <c r="A7" s="15" t="s">
        <v>38</v>
      </c>
      <c r="B7" s="2" t="s">
        <v>39</v>
      </c>
      <c r="C7" s="2">
        <v>16</v>
      </c>
      <c r="D7" s="2" t="s">
        <v>40</v>
      </c>
      <c r="E7" s="2" t="s">
        <v>41</v>
      </c>
      <c r="F7" s="2" t="s">
        <v>42</v>
      </c>
      <c r="G7" s="2" t="s">
        <v>43</v>
      </c>
      <c r="H7" s="25">
        <v>45179</v>
      </c>
      <c r="I7" s="2" t="s">
        <v>45</v>
      </c>
      <c r="J7" s="2" t="s">
        <v>23</v>
      </c>
      <c r="K7" s="3" t="s">
        <v>36</v>
      </c>
      <c r="L7" s="2" t="s">
        <v>46</v>
      </c>
      <c r="M7" s="17" t="s">
        <v>26</v>
      </c>
    </row>
    <row r="8" spans="1:13" ht="15" customHeight="1" x14ac:dyDescent="0.25">
      <c r="A8" s="16" t="s">
        <v>47</v>
      </c>
      <c r="B8" s="3" t="s">
        <v>48</v>
      </c>
      <c r="C8" s="3">
        <v>51</v>
      </c>
      <c r="D8" s="2" t="s">
        <v>17</v>
      </c>
      <c r="E8" s="3" t="s">
        <v>41</v>
      </c>
      <c r="F8" s="3" t="s">
        <v>49</v>
      </c>
      <c r="G8" s="3" t="s">
        <v>50</v>
      </c>
      <c r="H8" s="26">
        <v>44990</v>
      </c>
      <c r="I8" s="3" t="s">
        <v>52</v>
      </c>
      <c r="J8" s="3" t="s">
        <v>53</v>
      </c>
      <c r="K8" s="2" t="s">
        <v>24</v>
      </c>
      <c r="L8" s="3" t="s">
        <v>37</v>
      </c>
      <c r="M8" s="18" t="s">
        <v>54</v>
      </c>
    </row>
    <row r="9" spans="1:13" ht="15" customHeight="1" x14ac:dyDescent="0.25">
      <c r="A9" s="15" t="s">
        <v>55</v>
      </c>
      <c r="B9" s="2" t="s">
        <v>56</v>
      </c>
      <c r="C9" s="2">
        <v>25</v>
      </c>
      <c r="D9" s="2" t="s">
        <v>40</v>
      </c>
      <c r="E9" s="2" t="s">
        <v>58</v>
      </c>
      <c r="F9" s="2" t="s">
        <v>59</v>
      </c>
      <c r="G9" s="2" t="s">
        <v>60</v>
      </c>
      <c r="H9" s="25">
        <v>45282</v>
      </c>
      <c r="I9" s="2" t="s">
        <v>45</v>
      </c>
      <c r="J9" s="2" t="s">
        <v>62</v>
      </c>
      <c r="K9" s="2" t="s">
        <v>24</v>
      </c>
      <c r="L9" s="2" t="s">
        <v>37</v>
      </c>
      <c r="M9" s="17" t="s">
        <v>63</v>
      </c>
    </row>
    <row r="10" spans="1:13" ht="15" customHeight="1" x14ac:dyDescent="0.25">
      <c r="A10" s="16" t="s">
        <v>64</v>
      </c>
      <c r="B10" s="3" t="s">
        <v>65</v>
      </c>
      <c r="C10" s="3">
        <v>53</v>
      </c>
      <c r="D10" s="2" t="s">
        <v>40</v>
      </c>
      <c r="E10" s="28" t="s">
        <v>18</v>
      </c>
      <c r="F10" s="3" t="s">
        <v>66</v>
      </c>
      <c r="G10" s="3" t="s">
        <v>43</v>
      </c>
      <c r="H10" s="26">
        <v>45139</v>
      </c>
      <c r="I10" s="3" t="s">
        <v>34</v>
      </c>
      <c r="J10" s="3" t="s">
        <v>23</v>
      </c>
      <c r="K10" s="3" t="s">
        <v>36</v>
      </c>
      <c r="L10" s="3" t="s">
        <v>37</v>
      </c>
      <c r="M10" s="18" t="s">
        <v>54</v>
      </c>
    </row>
    <row r="11" spans="1:13" ht="15" customHeight="1" x14ac:dyDescent="0.25">
      <c r="A11" s="15" t="s">
        <v>68</v>
      </c>
      <c r="B11" s="2" t="s">
        <v>69</v>
      </c>
      <c r="C11" s="2">
        <v>77</v>
      </c>
      <c r="D11" s="2" t="s">
        <v>40</v>
      </c>
      <c r="E11" s="2" t="s">
        <v>70</v>
      </c>
      <c r="F11" s="2" t="s">
        <v>71</v>
      </c>
      <c r="G11" s="2" t="s">
        <v>72</v>
      </c>
      <c r="H11" s="25">
        <v>45245</v>
      </c>
      <c r="I11" s="2" t="s">
        <v>45</v>
      </c>
      <c r="J11" s="2" t="s">
        <v>35</v>
      </c>
      <c r="K11" s="2" t="s">
        <v>24</v>
      </c>
      <c r="L11" s="2" t="s">
        <v>37</v>
      </c>
      <c r="M11" s="17" t="s">
        <v>26</v>
      </c>
    </row>
    <row r="12" spans="1:13" ht="15" customHeight="1" x14ac:dyDescent="0.25">
      <c r="A12" s="16" t="s">
        <v>74</v>
      </c>
      <c r="B12" s="3" t="s">
        <v>75</v>
      </c>
      <c r="C12" s="3">
        <v>79</v>
      </c>
      <c r="D12" s="2" t="s">
        <v>40</v>
      </c>
      <c r="E12" s="3" t="s">
        <v>76</v>
      </c>
      <c r="F12" s="3" t="s">
        <v>77</v>
      </c>
      <c r="G12" s="3" t="s">
        <v>43</v>
      </c>
      <c r="H12" s="26">
        <v>45050</v>
      </c>
      <c r="I12" s="3" t="s">
        <v>52</v>
      </c>
      <c r="J12" s="3" t="s">
        <v>53</v>
      </c>
      <c r="K12" s="2" t="s">
        <v>24</v>
      </c>
      <c r="L12" s="3" t="s">
        <v>37</v>
      </c>
      <c r="M12" s="18" t="s">
        <v>26</v>
      </c>
    </row>
    <row r="13" spans="1:13" ht="15" customHeight="1" x14ac:dyDescent="0.25">
      <c r="A13" s="15" t="s">
        <v>79</v>
      </c>
      <c r="B13" s="2" t="s">
        <v>80</v>
      </c>
      <c r="C13" s="2">
        <v>59</v>
      </c>
      <c r="D13" s="2" t="s">
        <v>17</v>
      </c>
      <c r="E13" s="2" t="s">
        <v>81</v>
      </c>
      <c r="F13" s="2" t="s">
        <v>82</v>
      </c>
      <c r="G13" s="2" t="s">
        <v>20</v>
      </c>
      <c r="H13" s="25">
        <v>45155</v>
      </c>
      <c r="I13" s="2" t="s">
        <v>22</v>
      </c>
      <c r="J13" s="2" t="s">
        <v>23</v>
      </c>
      <c r="K13" s="3" t="s">
        <v>36</v>
      </c>
      <c r="L13" s="2" t="s">
        <v>37</v>
      </c>
      <c r="M13" s="17" t="s">
        <v>63</v>
      </c>
    </row>
    <row r="14" spans="1:13" ht="15" customHeight="1" x14ac:dyDescent="0.25">
      <c r="A14" s="16" t="s">
        <v>84</v>
      </c>
      <c r="B14" s="3" t="s">
        <v>85</v>
      </c>
      <c r="C14" s="3">
        <v>73</v>
      </c>
      <c r="D14" s="2" t="s">
        <v>17</v>
      </c>
      <c r="E14" s="3" t="s">
        <v>58</v>
      </c>
      <c r="F14" s="3" t="s">
        <v>87</v>
      </c>
      <c r="G14" s="3" t="s">
        <v>60</v>
      </c>
      <c r="H14" s="26">
        <v>45084</v>
      </c>
      <c r="I14" s="3" t="s">
        <v>22</v>
      </c>
      <c r="J14" s="3" t="s">
        <v>53</v>
      </c>
      <c r="K14" s="3" t="s">
        <v>36</v>
      </c>
      <c r="L14" s="3" t="s">
        <v>37</v>
      </c>
      <c r="M14" s="18" t="s">
        <v>63</v>
      </c>
    </row>
    <row r="15" spans="1:13" ht="15" customHeight="1" x14ac:dyDescent="0.25">
      <c r="A15" s="15" t="s">
        <v>89</v>
      </c>
      <c r="B15" s="2" t="s">
        <v>90</v>
      </c>
      <c r="C15" s="2">
        <v>18</v>
      </c>
      <c r="D15" s="2" t="s">
        <v>40</v>
      </c>
      <c r="E15" s="2" t="s">
        <v>18</v>
      </c>
      <c r="F15" s="2" t="s">
        <v>66</v>
      </c>
      <c r="G15" s="2" t="s">
        <v>91</v>
      </c>
      <c r="H15" s="25">
        <v>45102</v>
      </c>
      <c r="I15" s="2" t="s">
        <v>52</v>
      </c>
      <c r="J15" s="2" t="s">
        <v>35</v>
      </c>
      <c r="K15" s="3" t="s">
        <v>36</v>
      </c>
      <c r="L15" s="2" t="s">
        <v>46</v>
      </c>
      <c r="M15" s="17" t="s">
        <v>26</v>
      </c>
    </row>
    <row r="16" spans="1:13" ht="15" customHeight="1" x14ac:dyDescent="0.25">
      <c r="A16" s="16" t="s">
        <v>93</v>
      </c>
      <c r="B16" s="3" t="s">
        <v>94</v>
      </c>
      <c r="C16" s="3">
        <v>19</v>
      </c>
      <c r="D16" s="2" t="s">
        <v>40</v>
      </c>
      <c r="E16" s="3" t="s">
        <v>95</v>
      </c>
      <c r="F16" s="3" t="s">
        <v>96</v>
      </c>
      <c r="G16" s="3" t="s">
        <v>32</v>
      </c>
      <c r="H16" s="26">
        <v>45035</v>
      </c>
      <c r="I16" s="3" t="s">
        <v>52</v>
      </c>
      <c r="J16" s="3" t="s">
        <v>62</v>
      </c>
      <c r="K16" s="2" t="s">
        <v>24</v>
      </c>
      <c r="L16" s="3" t="s">
        <v>37</v>
      </c>
      <c r="M16" s="18" t="s">
        <v>26</v>
      </c>
    </row>
    <row r="17" spans="1:13" ht="15" customHeight="1" x14ac:dyDescent="0.25">
      <c r="A17" s="15" t="s">
        <v>98</v>
      </c>
      <c r="B17" s="2" t="s">
        <v>99</v>
      </c>
      <c r="C17" s="2">
        <v>21</v>
      </c>
      <c r="D17" s="2" t="s">
        <v>40</v>
      </c>
      <c r="E17" s="2" t="s">
        <v>18</v>
      </c>
      <c r="F17" s="2" t="s">
        <v>66</v>
      </c>
      <c r="G17" s="2" t="s">
        <v>60</v>
      </c>
      <c r="H17" s="25">
        <v>45197</v>
      </c>
      <c r="I17" s="2" t="s">
        <v>22</v>
      </c>
      <c r="J17" s="2" t="s">
        <v>35</v>
      </c>
      <c r="K17" s="3" t="s">
        <v>36</v>
      </c>
      <c r="L17" s="2" t="s">
        <v>46</v>
      </c>
      <c r="M17" s="17" t="s">
        <v>63</v>
      </c>
    </row>
    <row r="18" spans="1:13" ht="15" customHeight="1" x14ac:dyDescent="0.25">
      <c r="A18" s="16" t="s">
        <v>101</v>
      </c>
      <c r="B18" s="3" t="s">
        <v>102</v>
      </c>
      <c r="C18" s="3">
        <v>56</v>
      </c>
      <c r="D18" s="2" t="s">
        <v>40</v>
      </c>
      <c r="E18" s="3" t="s">
        <v>30</v>
      </c>
      <c r="F18" s="3" t="s">
        <v>103</v>
      </c>
      <c r="G18" s="2" t="s">
        <v>20</v>
      </c>
      <c r="H18" s="26">
        <v>45142</v>
      </c>
      <c r="I18" s="3" t="s">
        <v>52</v>
      </c>
      <c r="J18" s="3" t="s">
        <v>62</v>
      </c>
      <c r="K18" s="3" t="s">
        <v>36</v>
      </c>
      <c r="L18" s="3" t="s">
        <v>37</v>
      </c>
      <c r="M18" s="18" t="s">
        <v>63</v>
      </c>
    </row>
    <row r="19" spans="1:13" ht="15" customHeight="1" x14ac:dyDescent="0.25">
      <c r="A19" s="15" t="s">
        <v>105</v>
      </c>
      <c r="B19" s="2" t="s">
        <v>106</v>
      </c>
      <c r="C19" s="2">
        <v>5</v>
      </c>
      <c r="D19" s="2" t="s">
        <v>17</v>
      </c>
      <c r="E19" s="2" t="s">
        <v>107</v>
      </c>
      <c r="F19" s="2" t="s">
        <v>108</v>
      </c>
      <c r="G19" s="3" t="s">
        <v>32</v>
      </c>
      <c r="H19" s="25">
        <v>44954</v>
      </c>
      <c r="I19" s="2" t="s">
        <v>34</v>
      </c>
      <c r="J19" s="2" t="s">
        <v>62</v>
      </c>
      <c r="K19" s="2" t="s">
        <v>24</v>
      </c>
      <c r="L19" s="2" t="s">
        <v>46</v>
      </c>
      <c r="M19" s="17" t="s">
        <v>26</v>
      </c>
    </row>
    <row r="20" spans="1:13" ht="15" customHeight="1" x14ac:dyDescent="0.25">
      <c r="A20" s="16" t="s">
        <v>111</v>
      </c>
      <c r="B20" s="3" t="s">
        <v>112</v>
      </c>
      <c r="C20" s="3">
        <v>74</v>
      </c>
      <c r="D20" s="2" t="s">
        <v>17</v>
      </c>
      <c r="E20" s="3" t="s">
        <v>76</v>
      </c>
      <c r="F20" s="3" t="s">
        <v>77</v>
      </c>
      <c r="G20" s="3" t="s">
        <v>50</v>
      </c>
      <c r="H20" s="26">
        <v>45164</v>
      </c>
      <c r="I20" s="3" t="s">
        <v>22</v>
      </c>
      <c r="J20" s="3" t="s">
        <v>35</v>
      </c>
      <c r="K20" s="3" t="s">
        <v>36</v>
      </c>
      <c r="L20" s="3" t="s">
        <v>114</v>
      </c>
      <c r="M20" s="18" t="s">
        <v>26</v>
      </c>
    </row>
    <row r="21" spans="1:13" ht="15" customHeight="1" x14ac:dyDescent="0.25">
      <c r="A21" s="15" t="s">
        <v>115</v>
      </c>
      <c r="B21" s="2" t="s">
        <v>116</v>
      </c>
      <c r="C21" s="2">
        <v>57</v>
      </c>
      <c r="D21" s="2" t="s">
        <v>40</v>
      </c>
      <c r="E21" s="2" t="s">
        <v>107</v>
      </c>
      <c r="F21" s="2" t="s">
        <v>107</v>
      </c>
      <c r="G21" s="3" t="s">
        <v>32</v>
      </c>
      <c r="H21" s="25">
        <v>45131</v>
      </c>
      <c r="I21" s="2" t="s">
        <v>22</v>
      </c>
      <c r="J21" s="2" t="s">
        <v>62</v>
      </c>
      <c r="K21" s="2" t="s">
        <v>24</v>
      </c>
      <c r="L21" s="2" t="s">
        <v>25</v>
      </c>
      <c r="M21" s="17" t="s">
        <v>26</v>
      </c>
    </row>
    <row r="22" spans="1:13" ht="15" customHeight="1" x14ac:dyDescent="0.25">
      <c r="A22" s="16" t="s">
        <v>118</v>
      </c>
      <c r="B22" s="3" t="s">
        <v>119</v>
      </c>
      <c r="C22" s="3">
        <v>59</v>
      </c>
      <c r="D22" s="2" t="s">
        <v>17</v>
      </c>
      <c r="E22" s="3" t="s">
        <v>95</v>
      </c>
      <c r="F22" s="3" t="s">
        <v>120</v>
      </c>
      <c r="G22" s="3" t="s">
        <v>50</v>
      </c>
      <c r="H22" s="26">
        <v>44972</v>
      </c>
      <c r="I22" s="3" t="s">
        <v>34</v>
      </c>
      <c r="J22" s="3" t="s">
        <v>62</v>
      </c>
      <c r="K22" s="3" t="s">
        <v>36</v>
      </c>
      <c r="L22" s="3" t="s">
        <v>46</v>
      </c>
      <c r="M22" s="18" t="s">
        <v>26</v>
      </c>
    </row>
    <row r="23" spans="1:13" ht="15" customHeight="1" x14ac:dyDescent="0.25">
      <c r="A23" s="15" t="s">
        <v>122</v>
      </c>
      <c r="B23" s="2" t="s">
        <v>123</v>
      </c>
      <c r="C23" s="2">
        <v>26</v>
      </c>
      <c r="D23" s="2" t="s">
        <v>40</v>
      </c>
      <c r="E23" s="2" t="s">
        <v>30</v>
      </c>
      <c r="F23" s="2" t="s">
        <v>103</v>
      </c>
      <c r="G23" s="2" t="s">
        <v>50</v>
      </c>
      <c r="H23" s="25">
        <v>44964</v>
      </c>
      <c r="I23" s="2" t="s">
        <v>22</v>
      </c>
      <c r="J23" s="2" t="s">
        <v>35</v>
      </c>
      <c r="K23" s="2" t="s">
        <v>24</v>
      </c>
      <c r="L23" s="2" t="s">
        <v>37</v>
      </c>
      <c r="M23" s="17" t="s">
        <v>54</v>
      </c>
    </row>
    <row r="24" spans="1:13" ht="15" customHeight="1" x14ac:dyDescent="0.25">
      <c r="A24" s="16" t="s">
        <v>124</v>
      </c>
      <c r="B24" s="3" t="s">
        <v>125</v>
      </c>
      <c r="C24" s="3">
        <v>41</v>
      </c>
      <c r="D24" s="2" t="s">
        <v>40</v>
      </c>
      <c r="E24" s="3" t="s">
        <v>18</v>
      </c>
      <c r="F24" s="3" t="s">
        <v>126</v>
      </c>
      <c r="G24" s="2" t="s">
        <v>20</v>
      </c>
      <c r="H24" s="26">
        <v>45203</v>
      </c>
      <c r="I24" s="3" t="s">
        <v>52</v>
      </c>
      <c r="J24" s="3" t="s">
        <v>53</v>
      </c>
      <c r="K24" s="3" t="s">
        <v>36</v>
      </c>
      <c r="L24" s="3" t="s">
        <v>114</v>
      </c>
      <c r="M24" s="18" t="s">
        <v>63</v>
      </c>
    </row>
    <row r="25" spans="1:13" ht="15" customHeight="1" x14ac:dyDescent="0.25">
      <c r="A25" s="15" t="s">
        <v>129</v>
      </c>
      <c r="B25" s="2" t="s">
        <v>130</v>
      </c>
      <c r="C25" s="2">
        <v>12</v>
      </c>
      <c r="D25" s="2" t="s">
        <v>17</v>
      </c>
      <c r="E25" s="2" t="s">
        <v>76</v>
      </c>
      <c r="F25" s="2" t="s">
        <v>77</v>
      </c>
      <c r="G25" s="3" t="s">
        <v>32</v>
      </c>
      <c r="H25" s="25">
        <v>45086</v>
      </c>
      <c r="I25" s="2" t="s">
        <v>22</v>
      </c>
      <c r="J25" s="2" t="s">
        <v>23</v>
      </c>
      <c r="K25" s="3" t="s">
        <v>36</v>
      </c>
      <c r="L25" s="2" t="s">
        <v>114</v>
      </c>
      <c r="M25" s="17" t="s">
        <v>26</v>
      </c>
    </row>
    <row r="26" spans="1:13" ht="15" customHeight="1" x14ac:dyDescent="0.25">
      <c r="A26" s="16" t="s">
        <v>132</v>
      </c>
      <c r="B26" s="3" t="s">
        <v>133</v>
      </c>
      <c r="C26" s="3">
        <v>43</v>
      </c>
      <c r="D26" s="2" t="s">
        <v>17</v>
      </c>
      <c r="E26" s="3" t="s">
        <v>76</v>
      </c>
      <c r="F26" s="3" t="s">
        <v>134</v>
      </c>
      <c r="G26" s="3" t="s">
        <v>72</v>
      </c>
      <c r="H26" s="26">
        <v>45249</v>
      </c>
      <c r="I26" s="3" t="s">
        <v>45</v>
      </c>
      <c r="J26" s="3" t="s">
        <v>62</v>
      </c>
      <c r="K26" s="2" t="s">
        <v>24</v>
      </c>
      <c r="L26" s="3" t="s">
        <v>25</v>
      </c>
      <c r="M26" s="18" t="s">
        <v>63</v>
      </c>
    </row>
    <row r="27" spans="1:13" ht="15" customHeight="1" x14ac:dyDescent="0.25">
      <c r="A27" s="15" t="s">
        <v>136</v>
      </c>
      <c r="B27" s="2" t="s">
        <v>137</v>
      </c>
      <c r="C27" s="2">
        <v>55</v>
      </c>
      <c r="D27" s="2" t="s">
        <v>17</v>
      </c>
      <c r="E27" s="2" t="s">
        <v>95</v>
      </c>
      <c r="F27" s="2" t="s">
        <v>120</v>
      </c>
      <c r="G27" s="2" t="s">
        <v>43</v>
      </c>
      <c r="H27" s="25">
        <v>44928</v>
      </c>
      <c r="I27" s="2" t="s">
        <v>34</v>
      </c>
      <c r="J27" s="2" t="s">
        <v>53</v>
      </c>
      <c r="K27" s="2" t="s">
        <v>24</v>
      </c>
      <c r="L27" s="2" t="s">
        <v>114</v>
      </c>
      <c r="M27" s="17" t="s">
        <v>26</v>
      </c>
    </row>
    <row r="28" spans="1:13" ht="15" customHeight="1" x14ac:dyDescent="0.25">
      <c r="A28" s="16" t="s">
        <v>139</v>
      </c>
      <c r="B28" s="3" t="s">
        <v>140</v>
      </c>
      <c r="C28" s="3">
        <v>38</v>
      </c>
      <c r="D28" s="2" t="s">
        <v>17</v>
      </c>
      <c r="E28" s="3" t="s">
        <v>58</v>
      </c>
      <c r="F28" s="3" t="s">
        <v>87</v>
      </c>
      <c r="G28" s="3" t="s">
        <v>50</v>
      </c>
      <c r="H28" s="26">
        <v>45205</v>
      </c>
      <c r="I28" s="3" t="s">
        <v>52</v>
      </c>
      <c r="J28" s="3" t="s">
        <v>35</v>
      </c>
      <c r="K28" s="3" t="s">
        <v>36</v>
      </c>
      <c r="L28" s="3" t="s">
        <v>46</v>
      </c>
      <c r="M28" s="18" t="s">
        <v>63</v>
      </c>
    </row>
    <row r="29" spans="1:13" ht="15" customHeight="1" x14ac:dyDescent="0.25">
      <c r="A29" s="15" t="s">
        <v>142</v>
      </c>
      <c r="B29" s="2" t="s">
        <v>143</v>
      </c>
      <c r="C29" s="2" t="str">
        <f>"N/A"</f>
        <v>N/A</v>
      </c>
      <c r="D29" s="2" t="s">
        <v>17</v>
      </c>
      <c r="E29" s="2" t="s">
        <v>18</v>
      </c>
      <c r="F29" s="2" t="s">
        <v>144</v>
      </c>
      <c r="G29" s="2" t="s">
        <v>20</v>
      </c>
      <c r="H29" s="25">
        <v>45172</v>
      </c>
      <c r="I29" s="2" t="s">
        <v>34</v>
      </c>
      <c r="J29" s="2" t="s">
        <v>62</v>
      </c>
      <c r="K29" s="2" t="s">
        <v>24</v>
      </c>
      <c r="L29" s="2" t="s">
        <v>46</v>
      </c>
      <c r="M29" s="17" t="s">
        <v>26</v>
      </c>
    </row>
    <row r="30" spans="1:13" ht="15" customHeight="1" x14ac:dyDescent="0.25">
      <c r="A30" s="16" t="s">
        <v>146</v>
      </c>
      <c r="B30" s="3" t="s">
        <v>147</v>
      </c>
      <c r="C30" s="3">
        <v>48</v>
      </c>
      <c r="D30" s="2" t="s">
        <v>17</v>
      </c>
      <c r="E30" s="3" t="s">
        <v>95</v>
      </c>
      <c r="F30" s="3" t="s">
        <v>120</v>
      </c>
      <c r="G30" s="3" t="s">
        <v>60</v>
      </c>
      <c r="H30" s="26">
        <v>44986</v>
      </c>
      <c r="I30" s="3" t="s">
        <v>34</v>
      </c>
      <c r="J30" s="3" t="s">
        <v>35</v>
      </c>
      <c r="K30" s="2" t="s">
        <v>24</v>
      </c>
      <c r="L30" s="3" t="s">
        <v>37</v>
      </c>
      <c r="M30" s="18" t="s">
        <v>26</v>
      </c>
    </row>
    <row r="31" spans="1:13" ht="15" customHeight="1" x14ac:dyDescent="0.25">
      <c r="A31" s="15" t="s">
        <v>149</v>
      </c>
      <c r="B31" s="2" t="s">
        <v>150</v>
      </c>
      <c r="C31" s="2">
        <v>38</v>
      </c>
      <c r="D31" s="2" t="s">
        <v>17</v>
      </c>
      <c r="E31" s="2" t="s">
        <v>30</v>
      </c>
      <c r="F31" s="2" t="s">
        <v>103</v>
      </c>
      <c r="G31" s="3" t="s">
        <v>32</v>
      </c>
      <c r="H31" s="25">
        <v>45017</v>
      </c>
      <c r="I31" s="2" t="s">
        <v>34</v>
      </c>
      <c r="J31" s="2" t="s">
        <v>62</v>
      </c>
      <c r="K31" s="3" t="s">
        <v>36</v>
      </c>
      <c r="L31" s="2" t="s">
        <v>46</v>
      </c>
      <c r="M31" s="17" t="s">
        <v>26</v>
      </c>
    </row>
    <row r="32" spans="1:13" ht="15" customHeight="1" x14ac:dyDescent="0.25">
      <c r="A32" s="16" t="s">
        <v>152</v>
      </c>
      <c r="B32" s="3" t="s">
        <v>153</v>
      </c>
      <c r="C32" s="3">
        <v>60</v>
      </c>
      <c r="D32" s="2" t="s">
        <v>17</v>
      </c>
      <c r="E32" s="3" t="s">
        <v>107</v>
      </c>
      <c r="F32" s="3" t="s">
        <v>154</v>
      </c>
      <c r="G32" s="3" t="s">
        <v>43</v>
      </c>
      <c r="H32" s="26">
        <v>45261</v>
      </c>
      <c r="I32" s="3" t="s">
        <v>34</v>
      </c>
      <c r="J32" s="3" t="s">
        <v>53</v>
      </c>
      <c r="K32" s="3" t="s">
        <v>36</v>
      </c>
      <c r="L32" s="3" t="s">
        <v>114</v>
      </c>
      <c r="M32" s="18" t="s">
        <v>54</v>
      </c>
    </row>
    <row r="33" spans="1:13" ht="15" customHeight="1" x14ac:dyDescent="0.25">
      <c r="A33" s="15" t="s">
        <v>156</v>
      </c>
      <c r="B33" s="2" t="s">
        <v>157</v>
      </c>
      <c r="C33" s="2">
        <v>57</v>
      </c>
      <c r="D33" s="2" t="s">
        <v>17</v>
      </c>
      <c r="E33" s="2" t="s">
        <v>70</v>
      </c>
      <c r="F33" s="2" t="s">
        <v>158</v>
      </c>
      <c r="G33" s="2" t="s">
        <v>91</v>
      </c>
      <c r="H33" s="25">
        <v>44933</v>
      </c>
      <c r="I33" s="2" t="s">
        <v>22</v>
      </c>
      <c r="J33" s="2" t="s">
        <v>35</v>
      </c>
      <c r="K33" s="3" t="s">
        <v>36</v>
      </c>
      <c r="L33" s="2" t="s">
        <v>37</v>
      </c>
      <c r="M33" s="17" t="s">
        <v>63</v>
      </c>
    </row>
    <row r="34" spans="1:13" ht="15" customHeight="1" x14ac:dyDescent="0.25">
      <c r="A34" s="16" t="s">
        <v>160</v>
      </c>
      <c r="B34" s="3" t="s">
        <v>161</v>
      </c>
      <c r="C34" s="3" t="str">
        <f>"N/A"</f>
        <v>N/A</v>
      </c>
      <c r="D34" s="2" t="s">
        <v>17</v>
      </c>
      <c r="E34" s="3" t="s">
        <v>81</v>
      </c>
      <c r="F34" s="3" t="s">
        <v>162</v>
      </c>
      <c r="G34" s="3" t="s">
        <v>32</v>
      </c>
      <c r="H34" s="26">
        <v>45111</v>
      </c>
      <c r="I34" s="3" t="s">
        <v>52</v>
      </c>
      <c r="J34" s="3" t="s">
        <v>53</v>
      </c>
      <c r="K34" s="3" t="s">
        <v>36</v>
      </c>
      <c r="L34" s="3" t="s">
        <v>37</v>
      </c>
      <c r="M34" s="18" t="s">
        <v>26</v>
      </c>
    </row>
    <row r="35" spans="1:13" ht="15" customHeight="1" x14ac:dyDescent="0.25">
      <c r="A35" s="15" t="s">
        <v>164</v>
      </c>
      <c r="B35" s="2" t="s">
        <v>165</v>
      </c>
      <c r="C35" s="2">
        <v>56</v>
      </c>
      <c r="D35" s="2" t="s">
        <v>40</v>
      </c>
      <c r="E35" s="2" t="s">
        <v>95</v>
      </c>
      <c r="F35" s="2" t="s">
        <v>166</v>
      </c>
      <c r="G35" s="2" t="s">
        <v>60</v>
      </c>
      <c r="H35" s="25">
        <v>45098</v>
      </c>
      <c r="I35" s="2" t="s">
        <v>52</v>
      </c>
      <c r="J35" s="2" t="s">
        <v>35</v>
      </c>
      <c r="K35" s="3" t="s">
        <v>36</v>
      </c>
      <c r="L35" s="2" t="s">
        <v>114</v>
      </c>
      <c r="M35" s="17" t="s">
        <v>26</v>
      </c>
    </row>
    <row r="36" spans="1:13" ht="15" customHeight="1" x14ac:dyDescent="0.25">
      <c r="A36" s="16" t="s">
        <v>168</v>
      </c>
      <c r="B36" s="3" t="s">
        <v>169</v>
      </c>
      <c r="C36" s="3">
        <v>27</v>
      </c>
      <c r="D36" s="2" t="s">
        <v>40</v>
      </c>
      <c r="E36" s="3" t="s">
        <v>107</v>
      </c>
      <c r="F36" s="3" t="s">
        <v>107</v>
      </c>
      <c r="G36" s="2" t="s">
        <v>20</v>
      </c>
      <c r="H36" s="26">
        <v>45267</v>
      </c>
      <c r="I36" s="3" t="s">
        <v>22</v>
      </c>
      <c r="J36" s="3" t="s">
        <v>62</v>
      </c>
      <c r="K36" s="2" t="s">
        <v>24</v>
      </c>
      <c r="L36" s="3" t="s">
        <v>114</v>
      </c>
      <c r="M36" s="18" t="s">
        <v>63</v>
      </c>
    </row>
    <row r="37" spans="1:13" ht="15" customHeight="1" x14ac:dyDescent="0.25">
      <c r="A37" s="15" t="s">
        <v>171</v>
      </c>
      <c r="B37" s="2" t="s">
        <v>172</v>
      </c>
      <c r="C37" s="2">
        <v>29</v>
      </c>
      <c r="D37" s="2" t="s">
        <v>40</v>
      </c>
      <c r="E37" s="2" t="s">
        <v>107</v>
      </c>
      <c r="F37" s="2" t="s">
        <v>173</v>
      </c>
      <c r="G37" s="3" t="s">
        <v>32</v>
      </c>
      <c r="H37" s="25">
        <v>45195</v>
      </c>
      <c r="I37" s="2" t="s">
        <v>22</v>
      </c>
      <c r="J37" s="2" t="s">
        <v>53</v>
      </c>
      <c r="K37" s="3" t="s">
        <v>36</v>
      </c>
      <c r="L37" s="2" t="s">
        <v>37</v>
      </c>
      <c r="M37" s="17" t="s">
        <v>26</v>
      </c>
    </row>
    <row r="38" spans="1:13" ht="15" customHeight="1" x14ac:dyDescent="0.25">
      <c r="A38" s="16" t="s">
        <v>175</v>
      </c>
      <c r="B38" s="3" t="s">
        <v>176</v>
      </c>
      <c r="C38" s="3">
        <v>20</v>
      </c>
      <c r="D38" s="2" t="s">
        <v>40</v>
      </c>
      <c r="E38" s="3" t="s">
        <v>18</v>
      </c>
      <c r="F38" s="3" t="s">
        <v>144</v>
      </c>
      <c r="G38" s="3" t="s">
        <v>72</v>
      </c>
      <c r="H38" s="26">
        <v>45090</v>
      </c>
      <c r="I38" s="3" t="s">
        <v>52</v>
      </c>
      <c r="J38" s="3" t="s">
        <v>23</v>
      </c>
      <c r="K38" s="3" t="s">
        <v>36</v>
      </c>
      <c r="L38" s="3" t="s">
        <v>37</v>
      </c>
      <c r="M38" s="18" t="s">
        <v>26</v>
      </c>
    </row>
    <row r="39" spans="1:13" ht="15" customHeight="1" x14ac:dyDescent="0.25">
      <c r="A39" s="15" t="s">
        <v>178</v>
      </c>
      <c r="B39" s="2" t="s">
        <v>179</v>
      </c>
      <c r="C39" s="2">
        <v>27</v>
      </c>
      <c r="D39" s="2" t="s">
        <v>40</v>
      </c>
      <c r="E39" s="2" t="s">
        <v>81</v>
      </c>
      <c r="F39" s="2" t="s">
        <v>162</v>
      </c>
      <c r="G39" s="2" t="s">
        <v>60</v>
      </c>
      <c r="H39" s="25">
        <v>45092</v>
      </c>
      <c r="I39" s="2" t="s">
        <v>52</v>
      </c>
      <c r="J39" s="2" t="s">
        <v>35</v>
      </c>
      <c r="K39" s="2" t="s">
        <v>24</v>
      </c>
      <c r="L39" s="2" t="s">
        <v>114</v>
      </c>
      <c r="M39" s="17" t="s">
        <v>63</v>
      </c>
    </row>
    <row r="40" spans="1:13" ht="15" customHeight="1" x14ac:dyDescent="0.25">
      <c r="A40" s="16" t="s">
        <v>181</v>
      </c>
      <c r="B40" s="3" t="s">
        <v>182</v>
      </c>
      <c r="C40" s="3">
        <v>32</v>
      </c>
      <c r="D40" s="2" t="s">
        <v>40</v>
      </c>
      <c r="E40" s="3" t="s">
        <v>183</v>
      </c>
      <c r="F40" s="3" t="s">
        <v>184</v>
      </c>
      <c r="G40" s="3" t="s">
        <v>60</v>
      </c>
      <c r="H40" s="26">
        <v>45191</v>
      </c>
      <c r="I40" s="3" t="s">
        <v>22</v>
      </c>
      <c r="J40" s="3" t="s">
        <v>62</v>
      </c>
      <c r="K40" s="2" t="s">
        <v>24</v>
      </c>
      <c r="L40" s="3" t="s">
        <v>25</v>
      </c>
      <c r="M40" s="18" t="s">
        <v>63</v>
      </c>
    </row>
    <row r="41" spans="1:13" ht="15" customHeight="1" x14ac:dyDescent="0.25">
      <c r="A41" s="15" t="s">
        <v>186</v>
      </c>
      <c r="B41" s="2" t="s">
        <v>187</v>
      </c>
      <c r="C41" s="2">
        <v>23</v>
      </c>
      <c r="D41" s="2" t="s">
        <v>17</v>
      </c>
      <c r="E41" s="2" t="s">
        <v>107</v>
      </c>
      <c r="F41" s="2" t="s">
        <v>108</v>
      </c>
      <c r="G41" s="3" t="s">
        <v>32</v>
      </c>
      <c r="H41" s="25">
        <v>45227</v>
      </c>
      <c r="I41" s="2" t="s">
        <v>45</v>
      </c>
      <c r="J41" s="2" t="s">
        <v>62</v>
      </c>
      <c r="K41" s="3" t="s">
        <v>36</v>
      </c>
      <c r="L41" s="2" t="s">
        <v>37</v>
      </c>
      <c r="M41" s="17" t="s">
        <v>63</v>
      </c>
    </row>
    <row r="42" spans="1:13" ht="15" customHeight="1" x14ac:dyDescent="0.25">
      <c r="A42" s="16" t="s">
        <v>189</v>
      </c>
      <c r="B42" s="3" t="s">
        <v>190</v>
      </c>
      <c r="C42" s="3">
        <v>54</v>
      </c>
      <c r="D42" s="2" t="s">
        <v>40</v>
      </c>
      <c r="E42" s="3" t="s">
        <v>81</v>
      </c>
      <c r="F42" s="3" t="s">
        <v>191</v>
      </c>
      <c r="G42" s="3" t="s">
        <v>91</v>
      </c>
      <c r="H42" s="26">
        <v>45253</v>
      </c>
      <c r="I42" s="3" t="s">
        <v>45</v>
      </c>
      <c r="J42" s="3" t="s">
        <v>23</v>
      </c>
      <c r="K42" s="2" t="s">
        <v>24</v>
      </c>
      <c r="L42" s="3" t="s">
        <v>37</v>
      </c>
      <c r="M42" s="18" t="s">
        <v>26</v>
      </c>
    </row>
    <row r="43" spans="1:13" ht="15" customHeight="1" x14ac:dyDescent="0.25">
      <c r="A43" s="15" t="s">
        <v>193</v>
      </c>
      <c r="B43" s="2" t="s">
        <v>194</v>
      </c>
      <c r="C43" s="2">
        <v>71</v>
      </c>
      <c r="D43" s="2" t="s">
        <v>40</v>
      </c>
      <c r="E43" s="2" t="s">
        <v>107</v>
      </c>
      <c r="F43" s="2" t="s">
        <v>108</v>
      </c>
      <c r="G43" s="2" t="s">
        <v>20</v>
      </c>
      <c r="H43" s="25">
        <v>45054</v>
      </c>
      <c r="I43" s="2" t="s">
        <v>22</v>
      </c>
      <c r="J43" s="2" t="s">
        <v>53</v>
      </c>
      <c r="K43" s="3" t="s">
        <v>36</v>
      </c>
      <c r="L43" s="2" t="s">
        <v>46</v>
      </c>
      <c r="M43" s="17" t="s">
        <v>63</v>
      </c>
    </row>
    <row r="44" spans="1:13" ht="15" customHeight="1" x14ac:dyDescent="0.25">
      <c r="A44" s="16" t="s">
        <v>196</v>
      </c>
      <c r="B44" s="3" t="s">
        <v>197</v>
      </c>
      <c r="C44" s="3">
        <v>69</v>
      </c>
      <c r="D44" s="2" t="s">
        <v>40</v>
      </c>
      <c r="E44" s="3" t="s">
        <v>18</v>
      </c>
      <c r="F44" s="3" t="s">
        <v>126</v>
      </c>
      <c r="G44" s="3" t="s">
        <v>91</v>
      </c>
      <c r="H44" s="26">
        <v>45191</v>
      </c>
      <c r="I44" s="3" t="s">
        <v>45</v>
      </c>
      <c r="J44" s="3" t="s">
        <v>53</v>
      </c>
      <c r="K44" s="3" t="s">
        <v>36</v>
      </c>
      <c r="L44" s="3" t="s">
        <v>37</v>
      </c>
      <c r="M44" s="18" t="s">
        <v>26</v>
      </c>
    </row>
    <row r="45" spans="1:13" ht="15" customHeight="1" x14ac:dyDescent="0.25">
      <c r="A45" s="15" t="s">
        <v>199</v>
      </c>
      <c r="B45" s="2" t="s">
        <v>200</v>
      </c>
      <c r="C45" s="2">
        <v>71</v>
      </c>
      <c r="D45" s="2" t="s">
        <v>40</v>
      </c>
      <c r="E45" s="2" t="s">
        <v>70</v>
      </c>
      <c r="F45" s="2" t="s">
        <v>201</v>
      </c>
      <c r="G45" s="3" t="s">
        <v>32</v>
      </c>
      <c r="H45" s="25">
        <v>44980</v>
      </c>
      <c r="I45" s="2" t="s">
        <v>34</v>
      </c>
      <c r="J45" s="2" t="s">
        <v>23</v>
      </c>
      <c r="K45" s="3" t="s">
        <v>36</v>
      </c>
      <c r="L45" s="2" t="s">
        <v>37</v>
      </c>
      <c r="M45" s="17" t="s">
        <v>54</v>
      </c>
    </row>
    <row r="46" spans="1:13" ht="15" customHeight="1" x14ac:dyDescent="0.25">
      <c r="A46" s="16" t="s">
        <v>203</v>
      </c>
      <c r="B46" s="3" t="s">
        <v>204</v>
      </c>
      <c r="C46" s="3">
        <v>22</v>
      </c>
      <c r="D46" s="2" t="s">
        <v>17</v>
      </c>
      <c r="E46" s="3" t="s">
        <v>70</v>
      </c>
      <c r="F46" s="3" t="s">
        <v>71</v>
      </c>
      <c r="G46" s="3" t="s">
        <v>91</v>
      </c>
      <c r="H46" s="26">
        <v>45119</v>
      </c>
      <c r="I46" s="3" t="s">
        <v>45</v>
      </c>
      <c r="J46" s="3" t="s">
        <v>62</v>
      </c>
      <c r="K46" s="2" t="s">
        <v>24</v>
      </c>
      <c r="L46" s="3" t="s">
        <v>37</v>
      </c>
      <c r="M46" s="18" t="s">
        <v>54</v>
      </c>
    </row>
    <row r="47" spans="1:13" ht="15" customHeight="1" x14ac:dyDescent="0.25">
      <c r="A47" s="15" t="s">
        <v>206</v>
      </c>
      <c r="B47" s="2" t="s">
        <v>207</v>
      </c>
      <c r="C47" s="2">
        <v>31</v>
      </c>
      <c r="D47" s="2" t="s">
        <v>40</v>
      </c>
      <c r="E47" s="2" t="s">
        <v>81</v>
      </c>
      <c r="F47" s="2" t="s">
        <v>162</v>
      </c>
      <c r="G47" s="2" t="s">
        <v>20</v>
      </c>
      <c r="H47" s="25">
        <v>45123</v>
      </c>
      <c r="I47" s="2" t="s">
        <v>22</v>
      </c>
      <c r="J47" s="2" t="s">
        <v>23</v>
      </c>
      <c r="K47" s="3" t="s">
        <v>36</v>
      </c>
      <c r="L47" s="2" t="s">
        <v>37</v>
      </c>
      <c r="M47" s="17" t="s">
        <v>54</v>
      </c>
    </row>
    <row r="48" spans="1:13" ht="15" customHeight="1" x14ac:dyDescent="0.25">
      <c r="A48" s="16" t="s">
        <v>209</v>
      </c>
      <c r="B48" s="3" t="s">
        <v>210</v>
      </c>
      <c r="C48" s="3">
        <v>74</v>
      </c>
      <c r="D48" s="2" t="s">
        <v>17</v>
      </c>
      <c r="E48" s="3" t="s">
        <v>30</v>
      </c>
      <c r="F48" s="3" t="s">
        <v>211</v>
      </c>
      <c r="G48" s="3" t="s">
        <v>60</v>
      </c>
      <c r="H48" s="26">
        <v>45123</v>
      </c>
      <c r="I48" s="3" t="s">
        <v>22</v>
      </c>
      <c r="J48" s="3" t="s">
        <v>23</v>
      </c>
      <c r="K48" s="2" t="s">
        <v>24</v>
      </c>
      <c r="L48" s="3" t="s">
        <v>114</v>
      </c>
      <c r="M48" s="18" t="s">
        <v>63</v>
      </c>
    </row>
    <row r="49" spans="1:13" ht="15" customHeight="1" x14ac:dyDescent="0.25">
      <c r="A49" s="15" t="s">
        <v>212</v>
      </c>
      <c r="B49" s="2" t="s">
        <v>213</v>
      </c>
      <c r="C49" s="2">
        <v>26</v>
      </c>
      <c r="D49" s="2" t="s">
        <v>40</v>
      </c>
      <c r="E49" s="2" t="s">
        <v>183</v>
      </c>
      <c r="F49" s="2" t="s">
        <v>184</v>
      </c>
      <c r="G49" s="2" t="s">
        <v>72</v>
      </c>
      <c r="H49" s="25">
        <v>45218</v>
      </c>
      <c r="I49" s="2" t="s">
        <v>45</v>
      </c>
      <c r="J49" s="2" t="s">
        <v>23</v>
      </c>
      <c r="K49" s="3" t="s">
        <v>36</v>
      </c>
      <c r="L49" s="2" t="s">
        <v>37</v>
      </c>
      <c r="M49" s="17" t="s">
        <v>26</v>
      </c>
    </row>
    <row r="50" spans="1:13" ht="15" customHeight="1" x14ac:dyDescent="0.25">
      <c r="A50" s="16" t="s">
        <v>216</v>
      </c>
      <c r="B50" s="3" t="s">
        <v>217</v>
      </c>
      <c r="C50" s="3" t="s">
        <v>63</v>
      </c>
      <c r="D50" s="2" t="s">
        <v>40</v>
      </c>
      <c r="E50" s="3" t="s">
        <v>58</v>
      </c>
      <c r="F50" s="3" t="s">
        <v>218</v>
      </c>
      <c r="G50" s="3" t="s">
        <v>60</v>
      </c>
      <c r="H50" s="26">
        <v>45176</v>
      </c>
      <c r="I50" s="3" t="s">
        <v>22</v>
      </c>
      <c r="J50" s="3" t="s">
        <v>62</v>
      </c>
      <c r="K50" s="3" t="s">
        <v>36</v>
      </c>
      <c r="L50" s="3" t="s">
        <v>37</v>
      </c>
      <c r="M50" s="18" t="s">
        <v>63</v>
      </c>
    </row>
    <row r="51" spans="1:13" ht="15" customHeight="1" x14ac:dyDescent="0.25">
      <c r="A51" s="15" t="s">
        <v>220</v>
      </c>
      <c r="B51" s="2" t="s">
        <v>130</v>
      </c>
      <c r="C51" s="2">
        <v>49</v>
      </c>
      <c r="D51" s="2" t="s">
        <v>17</v>
      </c>
      <c r="E51" s="2" t="s">
        <v>41</v>
      </c>
      <c r="F51" s="2" t="s">
        <v>49</v>
      </c>
      <c r="G51" s="3" t="s">
        <v>32</v>
      </c>
      <c r="H51" s="25">
        <v>45111</v>
      </c>
      <c r="I51" s="2" t="s">
        <v>52</v>
      </c>
      <c r="J51" s="2" t="s">
        <v>23</v>
      </c>
      <c r="K51" s="2" t="s">
        <v>24</v>
      </c>
      <c r="L51" s="2" t="s">
        <v>37</v>
      </c>
      <c r="M51" s="17" t="s">
        <v>26</v>
      </c>
    </row>
    <row r="52" spans="1:13" ht="15" customHeight="1" x14ac:dyDescent="0.25">
      <c r="A52" s="16" t="s">
        <v>221</v>
      </c>
      <c r="B52" s="3" t="s">
        <v>222</v>
      </c>
      <c r="C52" s="3">
        <v>77</v>
      </c>
      <c r="D52" s="2" t="s">
        <v>17</v>
      </c>
      <c r="E52" s="3" t="s">
        <v>30</v>
      </c>
      <c r="F52" s="3" t="s">
        <v>31</v>
      </c>
      <c r="G52" s="3" t="s">
        <v>43</v>
      </c>
      <c r="H52" s="26">
        <v>45005</v>
      </c>
      <c r="I52" s="3" t="s">
        <v>34</v>
      </c>
      <c r="J52" s="3" t="s">
        <v>62</v>
      </c>
      <c r="K52" s="3" t="s">
        <v>36</v>
      </c>
      <c r="L52" s="3" t="s">
        <v>37</v>
      </c>
      <c r="M52" s="18" t="s">
        <v>26</v>
      </c>
    </row>
    <row r="53" spans="1:13" ht="15" customHeight="1" x14ac:dyDescent="0.25">
      <c r="A53" s="15" t="s">
        <v>224</v>
      </c>
      <c r="B53" s="2" t="s">
        <v>225</v>
      </c>
      <c r="C53" s="2">
        <v>78</v>
      </c>
      <c r="D53" s="2" t="s">
        <v>40</v>
      </c>
      <c r="E53" s="2" t="s">
        <v>81</v>
      </c>
      <c r="F53" s="2" t="s">
        <v>191</v>
      </c>
      <c r="G53" s="2" t="s">
        <v>20</v>
      </c>
      <c r="H53" s="25">
        <v>45222</v>
      </c>
      <c r="I53" s="2" t="s">
        <v>45</v>
      </c>
      <c r="J53" s="2" t="s">
        <v>53</v>
      </c>
      <c r="K53" s="2" t="s">
        <v>24</v>
      </c>
      <c r="L53" s="2" t="s">
        <v>37</v>
      </c>
      <c r="M53" s="17" t="s">
        <v>63</v>
      </c>
    </row>
    <row r="54" spans="1:13" ht="15" customHeight="1" x14ac:dyDescent="0.25">
      <c r="A54" s="16" t="s">
        <v>227</v>
      </c>
      <c r="B54" s="3" t="s">
        <v>228</v>
      </c>
      <c r="C54" s="3">
        <v>77</v>
      </c>
      <c r="D54" s="2" t="s">
        <v>17</v>
      </c>
      <c r="E54" s="3" t="s">
        <v>58</v>
      </c>
      <c r="F54" s="3" t="s">
        <v>218</v>
      </c>
      <c r="G54" s="3" t="s">
        <v>43</v>
      </c>
      <c r="H54" s="26">
        <v>44974</v>
      </c>
      <c r="I54" s="3" t="s">
        <v>34</v>
      </c>
      <c r="J54" s="3" t="s">
        <v>62</v>
      </c>
      <c r="K54" s="2" t="s">
        <v>24</v>
      </c>
      <c r="L54" s="3" t="s">
        <v>37</v>
      </c>
      <c r="M54" s="18" t="s">
        <v>54</v>
      </c>
    </row>
    <row r="55" spans="1:13" ht="15" customHeight="1" x14ac:dyDescent="0.25">
      <c r="A55" s="15" t="s">
        <v>231</v>
      </c>
      <c r="B55" s="2" t="s">
        <v>232</v>
      </c>
      <c r="C55" s="2">
        <v>63</v>
      </c>
      <c r="D55" s="2" t="s">
        <v>17</v>
      </c>
      <c r="E55" s="2" t="s">
        <v>81</v>
      </c>
      <c r="F55" s="2" t="s">
        <v>191</v>
      </c>
      <c r="G55" s="3" t="s">
        <v>32</v>
      </c>
      <c r="H55" s="25">
        <v>45180</v>
      </c>
      <c r="I55" s="2" t="s">
        <v>45</v>
      </c>
      <c r="J55" s="2" t="s">
        <v>53</v>
      </c>
      <c r="K55" s="3" t="s">
        <v>36</v>
      </c>
      <c r="L55" s="2" t="s">
        <v>37</v>
      </c>
      <c r="M55" s="17" t="s">
        <v>63</v>
      </c>
    </row>
    <row r="56" spans="1:13" ht="15" customHeight="1" x14ac:dyDescent="0.25">
      <c r="A56" s="16" t="s">
        <v>234</v>
      </c>
      <c r="B56" s="3" t="s">
        <v>235</v>
      </c>
      <c r="C56" s="3">
        <v>36</v>
      </c>
      <c r="D56" s="2" t="s">
        <v>17</v>
      </c>
      <c r="E56" s="3" t="s">
        <v>95</v>
      </c>
      <c r="F56" s="3" t="s">
        <v>120</v>
      </c>
      <c r="G56" s="3" t="s">
        <v>50</v>
      </c>
      <c r="H56" s="26">
        <v>45157</v>
      </c>
      <c r="I56" s="3" t="s">
        <v>22</v>
      </c>
      <c r="J56" s="3" t="s">
        <v>35</v>
      </c>
      <c r="K56" s="3" t="s">
        <v>36</v>
      </c>
      <c r="L56" s="3" t="s">
        <v>37</v>
      </c>
      <c r="M56" s="18" t="s">
        <v>54</v>
      </c>
    </row>
    <row r="57" spans="1:13" ht="15" customHeight="1" x14ac:dyDescent="0.25">
      <c r="A57" s="15" t="s">
        <v>237</v>
      </c>
      <c r="B57" s="2" t="s">
        <v>238</v>
      </c>
      <c r="C57" s="2">
        <v>50</v>
      </c>
      <c r="D57" s="2" t="s">
        <v>40</v>
      </c>
      <c r="E57" s="2" t="s">
        <v>58</v>
      </c>
      <c r="F57" s="2" t="s">
        <v>239</v>
      </c>
      <c r="G57" s="2" t="s">
        <v>20</v>
      </c>
      <c r="H57" s="25">
        <v>45181</v>
      </c>
      <c r="I57" s="2" t="s">
        <v>45</v>
      </c>
      <c r="J57" s="2" t="s">
        <v>23</v>
      </c>
      <c r="K57" s="3" t="s">
        <v>36</v>
      </c>
      <c r="L57" s="2" t="s">
        <v>25</v>
      </c>
      <c r="M57" s="17" t="s">
        <v>26</v>
      </c>
    </row>
    <row r="58" spans="1:13" ht="15" customHeight="1" x14ac:dyDescent="0.25">
      <c r="A58" s="16" t="s">
        <v>241</v>
      </c>
      <c r="B58" s="3" t="s">
        <v>242</v>
      </c>
      <c r="C58" s="3">
        <v>76</v>
      </c>
      <c r="D58" s="2" t="s">
        <v>17</v>
      </c>
      <c r="E58" s="3" t="s">
        <v>30</v>
      </c>
      <c r="F58" s="3" t="s">
        <v>103</v>
      </c>
      <c r="G58" s="3" t="s">
        <v>32</v>
      </c>
      <c r="H58" s="26">
        <v>44986</v>
      </c>
      <c r="I58" s="3" t="s">
        <v>34</v>
      </c>
      <c r="J58" s="3" t="s">
        <v>23</v>
      </c>
      <c r="K58" s="3" t="s">
        <v>36</v>
      </c>
      <c r="L58" s="3" t="s">
        <v>37</v>
      </c>
      <c r="M58" s="18" t="s">
        <v>63</v>
      </c>
    </row>
    <row r="59" spans="1:13" ht="15" customHeight="1" x14ac:dyDescent="0.25">
      <c r="A59" s="16" t="s">
        <v>243</v>
      </c>
      <c r="B59" s="3" t="s">
        <v>244</v>
      </c>
      <c r="C59" s="3">
        <v>29</v>
      </c>
      <c r="D59" s="2" t="s">
        <v>40</v>
      </c>
      <c r="E59" s="3" t="s">
        <v>41</v>
      </c>
      <c r="F59" s="3" t="s">
        <v>245</v>
      </c>
      <c r="G59" s="3" t="s">
        <v>50</v>
      </c>
      <c r="H59" s="26">
        <v>45040</v>
      </c>
      <c r="I59" s="3" t="s">
        <v>52</v>
      </c>
      <c r="J59" s="3" t="s">
        <v>53</v>
      </c>
      <c r="K59" s="2" t="s">
        <v>24</v>
      </c>
      <c r="L59" s="3" t="s">
        <v>114</v>
      </c>
      <c r="M59" s="18" t="s">
        <v>63</v>
      </c>
    </row>
    <row r="60" spans="1:13" ht="15" customHeight="1" x14ac:dyDescent="0.25">
      <c r="A60" s="15" t="s">
        <v>247</v>
      </c>
      <c r="B60" s="2" t="s">
        <v>248</v>
      </c>
      <c r="C60" s="2">
        <v>29</v>
      </c>
      <c r="D60" s="2" t="s">
        <v>40</v>
      </c>
      <c r="E60" s="2" t="s">
        <v>70</v>
      </c>
      <c r="F60" s="2" t="s">
        <v>201</v>
      </c>
      <c r="G60" s="2" t="s">
        <v>91</v>
      </c>
      <c r="H60" s="25">
        <v>44931</v>
      </c>
      <c r="I60" s="2" t="s">
        <v>52</v>
      </c>
      <c r="J60" s="2" t="s">
        <v>35</v>
      </c>
      <c r="K60" s="2" t="s">
        <v>24</v>
      </c>
      <c r="L60" s="2" t="s">
        <v>37</v>
      </c>
      <c r="M60" s="17" t="s">
        <v>26</v>
      </c>
    </row>
    <row r="61" spans="1:13" ht="15" customHeight="1" x14ac:dyDescent="0.25">
      <c r="A61" s="16" t="s">
        <v>250</v>
      </c>
      <c r="B61" s="3" t="s">
        <v>251</v>
      </c>
      <c r="C61" s="3">
        <v>21</v>
      </c>
      <c r="D61" s="2" t="s">
        <v>40</v>
      </c>
      <c r="E61" s="3" t="s">
        <v>41</v>
      </c>
      <c r="F61" s="3" t="s">
        <v>49</v>
      </c>
      <c r="G61" s="2" t="s">
        <v>20</v>
      </c>
      <c r="H61" s="26">
        <v>45062</v>
      </c>
      <c r="I61" s="3" t="s">
        <v>52</v>
      </c>
      <c r="J61" s="3" t="s">
        <v>53</v>
      </c>
      <c r="K61" s="3" t="s">
        <v>36</v>
      </c>
      <c r="L61" s="3" t="s">
        <v>114</v>
      </c>
      <c r="M61" s="18" t="s">
        <v>26</v>
      </c>
    </row>
    <row r="62" spans="1:13" ht="15" customHeight="1" x14ac:dyDescent="0.25">
      <c r="A62" s="15" t="s">
        <v>253</v>
      </c>
      <c r="B62" s="2" t="s">
        <v>254</v>
      </c>
      <c r="C62" s="2">
        <v>66</v>
      </c>
      <c r="D62" s="2" t="s">
        <v>17</v>
      </c>
      <c r="E62" s="2" t="s">
        <v>41</v>
      </c>
      <c r="F62" s="2" t="s">
        <v>255</v>
      </c>
      <c r="G62" s="3" t="s">
        <v>32</v>
      </c>
      <c r="H62" s="25">
        <v>44976</v>
      </c>
      <c r="I62" s="2" t="s">
        <v>34</v>
      </c>
      <c r="J62" s="2" t="s">
        <v>23</v>
      </c>
      <c r="K62" s="3" t="s">
        <v>36</v>
      </c>
      <c r="L62" s="2" t="s">
        <v>37</v>
      </c>
      <c r="M62" s="17" t="s">
        <v>63</v>
      </c>
    </row>
    <row r="63" spans="1:13" ht="15" customHeight="1" x14ac:dyDescent="0.25">
      <c r="A63" s="16" t="s">
        <v>257</v>
      </c>
      <c r="B63" s="3" t="s">
        <v>258</v>
      </c>
      <c r="C63" s="3">
        <v>20</v>
      </c>
      <c r="D63" s="2" t="s">
        <v>40</v>
      </c>
      <c r="E63" s="3" t="s">
        <v>76</v>
      </c>
      <c r="F63" s="3" t="s">
        <v>259</v>
      </c>
      <c r="G63" s="3" t="s">
        <v>32</v>
      </c>
      <c r="H63" s="26">
        <v>45122</v>
      </c>
      <c r="I63" s="3" t="s">
        <v>22</v>
      </c>
      <c r="J63" s="3" t="s">
        <v>53</v>
      </c>
      <c r="K63" s="2" t="s">
        <v>24</v>
      </c>
      <c r="L63" s="3" t="s">
        <v>114</v>
      </c>
      <c r="M63" s="18" t="s">
        <v>54</v>
      </c>
    </row>
    <row r="64" spans="1:13" ht="15" customHeight="1" x14ac:dyDescent="0.25">
      <c r="A64" s="15" t="s">
        <v>261</v>
      </c>
      <c r="B64" s="2" t="s">
        <v>262</v>
      </c>
      <c r="C64" s="2">
        <v>17</v>
      </c>
      <c r="D64" s="2" t="s">
        <v>17</v>
      </c>
      <c r="E64" s="2" t="s">
        <v>70</v>
      </c>
      <c r="F64" s="2" t="s">
        <v>201</v>
      </c>
      <c r="G64" s="2" t="s">
        <v>20</v>
      </c>
      <c r="H64" s="25">
        <v>45141</v>
      </c>
      <c r="I64" s="2" t="s">
        <v>34</v>
      </c>
      <c r="J64" s="2" t="s">
        <v>35</v>
      </c>
      <c r="K64" s="3" t="s">
        <v>36</v>
      </c>
      <c r="L64" s="2" t="s">
        <v>114</v>
      </c>
      <c r="M64" s="17" t="s">
        <v>26</v>
      </c>
    </row>
    <row r="65" spans="1:13" ht="15" customHeight="1" x14ac:dyDescent="0.25">
      <c r="A65" s="16" t="s">
        <v>264</v>
      </c>
      <c r="B65" s="3" t="s">
        <v>265</v>
      </c>
      <c r="C65" s="3">
        <v>81</v>
      </c>
      <c r="D65" s="2" t="s">
        <v>40</v>
      </c>
      <c r="E65" s="3" t="s">
        <v>95</v>
      </c>
      <c r="F65" s="3" t="s">
        <v>166</v>
      </c>
      <c r="G65" s="3" t="s">
        <v>50</v>
      </c>
      <c r="H65" s="26">
        <v>45069</v>
      </c>
      <c r="I65" s="3" t="s">
        <v>52</v>
      </c>
      <c r="J65" s="3" t="s">
        <v>23</v>
      </c>
      <c r="K65" s="3" t="s">
        <v>36</v>
      </c>
      <c r="L65" s="3" t="s">
        <v>114</v>
      </c>
      <c r="M65" s="18" t="s">
        <v>63</v>
      </c>
    </row>
    <row r="66" spans="1:13" ht="15" customHeight="1" x14ac:dyDescent="0.25">
      <c r="A66" s="15" t="s">
        <v>267</v>
      </c>
      <c r="B66" s="2" t="s">
        <v>268</v>
      </c>
      <c r="C66" s="2">
        <v>80</v>
      </c>
      <c r="D66" s="2" t="s">
        <v>17</v>
      </c>
      <c r="E66" s="2" t="s">
        <v>81</v>
      </c>
      <c r="F66" s="2" t="s">
        <v>162</v>
      </c>
      <c r="G66" s="3" t="s">
        <v>32</v>
      </c>
      <c r="H66" s="25">
        <v>45037</v>
      </c>
      <c r="I66" s="2" t="s">
        <v>52</v>
      </c>
      <c r="J66" s="2" t="s">
        <v>35</v>
      </c>
      <c r="K66" s="2" t="s">
        <v>24</v>
      </c>
      <c r="L66" s="2" t="s">
        <v>37</v>
      </c>
      <c r="M66" s="17" t="s">
        <v>26</v>
      </c>
    </row>
    <row r="67" spans="1:13" ht="15" customHeight="1" x14ac:dyDescent="0.25">
      <c r="A67" s="16" t="s">
        <v>270</v>
      </c>
      <c r="B67" s="3" t="s">
        <v>271</v>
      </c>
      <c r="C67" s="3">
        <v>81</v>
      </c>
      <c r="D67" s="2" t="s">
        <v>40</v>
      </c>
      <c r="E67" s="3" t="s">
        <v>30</v>
      </c>
      <c r="F67" s="3" t="s">
        <v>272</v>
      </c>
      <c r="G67" s="3" t="s">
        <v>32</v>
      </c>
      <c r="H67" s="26">
        <v>45211</v>
      </c>
      <c r="I67" s="3" t="s">
        <v>45</v>
      </c>
      <c r="J67" s="3" t="s">
        <v>35</v>
      </c>
      <c r="K67" s="2" t="s">
        <v>24</v>
      </c>
      <c r="L67" s="3" t="s">
        <v>46</v>
      </c>
      <c r="M67" s="18" t="s">
        <v>63</v>
      </c>
    </row>
    <row r="68" spans="1:13" ht="15" customHeight="1" x14ac:dyDescent="0.25">
      <c r="A68" s="15" t="s">
        <v>274</v>
      </c>
      <c r="B68" s="2" t="s">
        <v>275</v>
      </c>
      <c r="C68" s="2">
        <v>83</v>
      </c>
      <c r="D68" s="2" t="s">
        <v>40</v>
      </c>
      <c r="E68" s="2" t="s">
        <v>107</v>
      </c>
      <c r="F68" s="2" t="s">
        <v>107</v>
      </c>
      <c r="G68" s="2" t="s">
        <v>50</v>
      </c>
      <c r="H68" s="25">
        <v>45257</v>
      </c>
      <c r="I68" s="2" t="s">
        <v>45</v>
      </c>
      <c r="J68" s="2" t="s">
        <v>23</v>
      </c>
      <c r="K68" s="2" t="s">
        <v>24</v>
      </c>
      <c r="L68" s="2" t="s">
        <v>114</v>
      </c>
      <c r="M68" s="17" t="s">
        <v>26</v>
      </c>
    </row>
    <row r="69" spans="1:13" ht="15" customHeight="1" x14ac:dyDescent="0.25">
      <c r="A69" s="16" t="s">
        <v>277</v>
      </c>
      <c r="B69" s="3" t="s">
        <v>278</v>
      </c>
      <c r="C69" s="3">
        <v>71</v>
      </c>
      <c r="D69" s="2" t="s">
        <v>40</v>
      </c>
      <c r="E69" s="3" t="s">
        <v>95</v>
      </c>
      <c r="F69" s="3" t="s">
        <v>96</v>
      </c>
      <c r="G69" s="2" t="s">
        <v>20</v>
      </c>
      <c r="H69" s="26">
        <v>45128</v>
      </c>
      <c r="I69" s="3" t="s">
        <v>22</v>
      </c>
      <c r="J69" s="3" t="s">
        <v>53</v>
      </c>
      <c r="K69" s="2" t="s">
        <v>24</v>
      </c>
      <c r="L69" s="3" t="s">
        <v>37</v>
      </c>
      <c r="M69" s="18" t="s">
        <v>54</v>
      </c>
    </row>
    <row r="70" spans="1:13" ht="15" customHeight="1" x14ac:dyDescent="0.25">
      <c r="A70" s="15" t="s">
        <v>280</v>
      </c>
      <c r="B70" s="2" t="s">
        <v>281</v>
      </c>
      <c r="C70" s="2">
        <v>18</v>
      </c>
      <c r="D70" s="2" t="s">
        <v>17</v>
      </c>
      <c r="E70" s="2" t="s">
        <v>58</v>
      </c>
      <c r="F70" s="2" t="s">
        <v>218</v>
      </c>
      <c r="G70" s="3" t="s">
        <v>32</v>
      </c>
      <c r="H70" s="25">
        <v>45068</v>
      </c>
      <c r="I70" s="2" t="s">
        <v>52</v>
      </c>
      <c r="J70" s="2" t="s">
        <v>35</v>
      </c>
      <c r="K70" s="3" t="s">
        <v>36</v>
      </c>
      <c r="L70" s="2" t="s">
        <v>37</v>
      </c>
      <c r="M70" s="17" t="s">
        <v>54</v>
      </c>
    </row>
    <row r="71" spans="1:13" ht="15" customHeight="1" x14ac:dyDescent="0.25">
      <c r="A71" s="16" t="s">
        <v>283</v>
      </c>
      <c r="B71" s="3" t="s">
        <v>284</v>
      </c>
      <c r="C71" s="3">
        <v>19</v>
      </c>
      <c r="D71" s="2" t="s">
        <v>40</v>
      </c>
      <c r="E71" s="3" t="s">
        <v>18</v>
      </c>
      <c r="F71" s="3" t="s">
        <v>19</v>
      </c>
      <c r="G71" s="3" t="s">
        <v>32</v>
      </c>
      <c r="H71" s="26">
        <v>45152</v>
      </c>
      <c r="I71" s="3" t="s">
        <v>22</v>
      </c>
      <c r="J71" s="3" t="s">
        <v>23</v>
      </c>
      <c r="K71" s="3" t="s">
        <v>36</v>
      </c>
      <c r="L71" s="3" t="s">
        <v>46</v>
      </c>
      <c r="M71" s="18" t="s">
        <v>54</v>
      </c>
    </row>
    <row r="72" spans="1:13" ht="15" customHeight="1" x14ac:dyDescent="0.25">
      <c r="A72" s="15" t="s">
        <v>286</v>
      </c>
      <c r="B72" s="2" t="s">
        <v>287</v>
      </c>
      <c r="C72" s="2">
        <v>61</v>
      </c>
      <c r="D72" s="2" t="s">
        <v>17</v>
      </c>
      <c r="E72" s="2" t="s">
        <v>70</v>
      </c>
      <c r="F72" s="2" t="s">
        <v>201</v>
      </c>
      <c r="G72" s="3" t="s">
        <v>32</v>
      </c>
      <c r="H72" s="25">
        <v>45202</v>
      </c>
      <c r="I72" s="2" t="s">
        <v>34</v>
      </c>
      <c r="J72" s="2" t="s">
        <v>53</v>
      </c>
      <c r="K72" s="3" t="s">
        <v>36</v>
      </c>
      <c r="L72" s="2" t="s">
        <v>114</v>
      </c>
      <c r="M72" s="17" t="s">
        <v>26</v>
      </c>
    </row>
    <row r="73" spans="1:13" ht="15" customHeight="1" x14ac:dyDescent="0.25">
      <c r="A73" s="16" t="s">
        <v>289</v>
      </c>
      <c r="B73" s="3" t="s">
        <v>290</v>
      </c>
      <c r="C73" s="3">
        <v>25</v>
      </c>
      <c r="D73" s="2" t="s">
        <v>40</v>
      </c>
      <c r="E73" s="3" t="s">
        <v>18</v>
      </c>
      <c r="F73" s="3" t="s">
        <v>19</v>
      </c>
      <c r="G73" s="3" t="s">
        <v>32</v>
      </c>
      <c r="H73" s="26">
        <v>44992</v>
      </c>
      <c r="I73" s="3" t="s">
        <v>22</v>
      </c>
      <c r="J73" s="3" t="s">
        <v>53</v>
      </c>
      <c r="K73" s="2" t="s">
        <v>24</v>
      </c>
      <c r="L73" s="3" t="s">
        <v>37</v>
      </c>
      <c r="M73" s="18" t="s">
        <v>26</v>
      </c>
    </row>
    <row r="74" spans="1:13" ht="15" customHeight="1" x14ac:dyDescent="0.25">
      <c r="A74" s="15" t="s">
        <v>292</v>
      </c>
      <c r="B74" s="2" t="s">
        <v>293</v>
      </c>
      <c r="C74" s="2">
        <v>42</v>
      </c>
      <c r="D74" s="2" t="s">
        <v>40</v>
      </c>
      <c r="E74" s="2" t="s">
        <v>81</v>
      </c>
      <c r="F74" s="2" t="s">
        <v>82</v>
      </c>
      <c r="G74" s="3" t="s">
        <v>32</v>
      </c>
      <c r="H74" s="25">
        <v>45031</v>
      </c>
      <c r="I74" s="2" t="s">
        <v>52</v>
      </c>
      <c r="J74" s="2" t="s">
        <v>35</v>
      </c>
      <c r="K74" s="2" t="s">
        <v>24</v>
      </c>
      <c r="L74" s="2" t="s">
        <v>25</v>
      </c>
      <c r="M74" s="17" t="s">
        <v>63</v>
      </c>
    </row>
    <row r="75" spans="1:13" ht="15" customHeight="1" x14ac:dyDescent="0.25">
      <c r="A75" s="16" t="s">
        <v>295</v>
      </c>
      <c r="B75" s="3" t="s">
        <v>296</v>
      </c>
      <c r="C75" s="3">
        <v>13</v>
      </c>
      <c r="D75" s="2" t="s">
        <v>40</v>
      </c>
      <c r="E75" s="3" t="s">
        <v>81</v>
      </c>
      <c r="F75" s="3" t="s">
        <v>297</v>
      </c>
      <c r="G75" s="3" t="s">
        <v>32</v>
      </c>
      <c r="H75" s="26">
        <v>45073</v>
      </c>
      <c r="I75" s="3" t="s">
        <v>52</v>
      </c>
      <c r="J75" s="3" t="s">
        <v>23</v>
      </c>
      <c r="K75" s="2" t="s">
        <v>24</v>
      </c>
      <c r="L75" s="3" t="s">
        <v>37</v>
      </c>
      <c r="M75" s="18" t="s">
        <v>63</v>
      </c>
    </row>
    <row r="76" spans="1:13" ht="15" customHeight="1" x14ac:dyDescent="0.25">
      <c r="A76" s="15" t="s">
        <v>299</v>
      </c>
      <c r="B76" s="2" t="s">
        <v>300</v>
      </c>
      <c r="C76" s="2">
        <v>24</v>
      </c>
      <c r="D76" s="2" t="s">
        <v>40</v>
      </c>
      <c r="E76" s="2" t="s">
        <v>18</v>
      </c>
      <c r="F76" s="2" t="s">
        <v>126</v>
      </c>
      <c r="G76" s="2" t="s">
        <v>43</v>
      </c>
      <c r="H76" s="25">
        <v>45095</v>
      </c>
      <c r="I76" s="2" t="s">
        <v>52</v>
      </c>
      <c r="J76" s="2" t="s">
        <v>35</v>
      </c>
      <c r="K76" s="3" t="s">
        <v>36</v>
      </c>
      <c r="L76" s="2" t="s">
        <v>114</v>
      </c>
      <c r="M76" s="17" t="s">
        <v>26</v>
      </c>
    </row>
    <row r="77" spans="1:13" ht="15" customHeight="1" x14ac:dyDescent="0.25">
      <c r="A77" s="16" t="s">
        <v>302</v>
      </c>
      <c r="B77" s="3" t="s">
        <v>303</v>
      </c>
      <c r="C77" s="3">
        <v>34</v>
      </c>
      <c r="D77" s="2" t="s">
        <v>40</v>
      </c>
      <c r="E77" s="3" t="s">
        <v>107</v>
      </c>
      <c r="F77" s="3" t="s">
        <v>154</v>
      </c>
      <c r="G77" s="3" t="s">
        <v>32</v>
      </c>
      <c r="H77" s="26">
        <v>45286</v>
      </c>
      <c r="I77" s="3" t="s">
        <v>45</v>
      </c>
      <c r="J77" s="3" t="s">
        <v>35</v>
      </c>
      <c r="K77" s="2" t="s">
        <v>24</v>
      </c>
      <c r="L77" s="3" t="s">
        <v>37</v>
      </c>
      <c r="M77" s="18" t="s">
        <v>54</v>
      </c>
    </row>
    <row r="78" spans="1:13" ht="15" customHeight="1" x14ac:dyDescent="0.25">
      <c r="A78" s="15" t="s">
        <v>305</v>
      </c>
      <c r="B78" s="2" t="s">
        <v>306</v>
      </c>
      <c r="C78" s="2">
        <v>80</v>
      </c>
      <c r="D78" s="2" t="s">
        <v>40</v>
      </c>
      <c r="E78" s="2" t="s">
        <v>41</v>
      </c>
      <c r="F78" s="2" t="s">
        <v>255</v>
      </c>
      <c r="G78" s="2" t="s">
        <v>20</v>
      </c>
      <c r="H78" s="25">
        <v>45184</v>
      </c>
      <c r="I78" s="2" t="s">
        <v>22</v>
      </c>
      <c r="J78" s="2" t="s">
        <v>23</v>
      </c>
      <c r="K78" s="3" t="s">
        <v>36</v>
      </c>
      <c r="L78" s="2" t="s">
        <v>37</v>
      </c>
      <c r="M78" s="17" t="s">
        <v>63</v>
      </c>
    </row>
    <row r="79" spans="1:13" ht="15" customHeight="1" x14ac:dyDescent="0.25">
      <c r="A79" s="16" t="s">
        <v>308</v>
      </c>
      <c r="B79" s="3" t="s">
        <v>309</v>
      </c>
      <c r="C79" s="3">
        <v>38</v>
      </c>
      <c r="D79" s="2" t="s">
        <v>40</v>
      </c>
      <c r="E79" s="3" t="s">
        <v>76</v>
      </c>
      <c r="F79" s="3" t="s">
        <v>77</v>
      </c>
      <c r="G79" s="2" t="s">
        <v>20</v>
      </c>
      <c r="H79" s="26">
        <v>45105</v>
      </c>
      <c r="I79" s="3" t="s">
        <v>52</v>
      </c>
      <c r="J79" s="3" t="s">
        <v>35</v>
      </c>
      <c r="K79" s="3" t="s">
        <v>36</v>
      </c>
      <c r="L79" s="3" t="s">
        <v>37</v>
      </c>
      <c r="M79" s="18" t="s">
        <v>63</v>
      </c>
    </row>
    <row r="80" spans="1:13" ht="15" customHeight="1" x14ac:dyDescent="0.25">
      <c r="A80" s="15" t="s">
        <v>311</v>
      </c>
      <c r="B80" s="2" t="s">
        <v>312</v>
      </c>
      <c r="C80" s="2">
        <v>10</v>
      </c>
      <c r="D80" s="2" t="s">
        <v>40</v>
      </c>
      <c r="E80" s="2" t="s">
        <v>41</v>
      </c>
      <c r="F80" s="2" t="s">
        <v>49</v>
      </c>
      <c r="G80" s="3" t="s">
        <v>32</v>
      </c>
      <c r="H80" s="25">
        <v>45008</v>
      </c>
      <c r="I80" s="2" t="s">
        <v>34</v>
      </c>
      <c r="J80" s="2" t="s">
        <v>23</v>
      </c>
      <c r="K80" s="3" t="s">
        <v>36</v>
      </c>
      <c r="L80" s="2" t="s">
        <v>37</v>
      </c>
      <c r="M80" s="17" t="s">
        <v>54</v>
      </c>
    </row>
    <row r="81" spans="1:13" ht="15" customHeight="1" x14ac:dyDescent="0.25">
      <c r="A81" s="16" t="s">
        <v>313</v>
      </c>
      <c r="B81" s="3" t="s">
        <v>314</v>
      </c>
      <c r="C81" s="3">
        <v>60</v>
      </c>
      <c r="D81" s="2" t="s">
        <v>17</v>
      </c>
      <c r="E81" s="3" t="s">
        <v>70</v>
      </c>
      <c r="F81" s="3" t="s">
        <v>71</v>
      </c>
      <c r="G81" s="2" t="s">
        <v>20</v>
      </c>
      <c r="H81" s="26">
        <v>45256</v>
      </c>
      <c r="I81" s="3" t="s">
        <v>45</v>
      </c>
      <c r="J81" s="3" t="s">
        <v>35</v>
      </c>
      <c r="K81" s="3" t="s">
        <v>36</v>
      </c>
      <c r="L81" s="3" t="s">
        <v>37</v>
      </c>
      <c r="M81" s="18" t="s">
        <v>26</v>
      </c>
    </row>
    <row r="82" spans="1:13" ht="15" customHeight="1" x14ac:dyDescent="0.25">
      <c r="A82" s="15" t="s">
        <v>316</v>
      </c>
      <c r="B82" s="2" t="s">
        <v>317</v>
      </c>
      <c r="C82" s="2">
        <v>35</v>
      </c>
      <c r="D82" s="2" t="s">
        <v>40</v>
      </c>
      <c r="E82" s="2" t="s">
        <v>76</v>
      </c>
      <c r="F82" s="2" t="s">
        <v>259</v>
      </c>
      <c r="G82" s="2" t="s">
        <v>50</v>
      </c>
      <c r="H82" s="25">
        <v>45159</v>
      </c>
      <c r="I82" s="2" t="s">
        <v>22</v>
      </c>
      <c r="J82" s="2" t="s">
        <v>23</v>
      </c>
      <c r="K82" s="3" t="s">
        <v>36</v>
      </c>
      <c r="L82" s="2" t="s">
        <v>37</v>
      </c>
      <c r="M82" s="17" t="s">
        <v>63</v>
      </c>
    </row>
    <row r="83" spans="1:13" ht="15" customHeight="1" x14ac:dyDescent="0.25">
      <c r="A83" s="16" t="s">
        <v>319</v>
      </c>
      <c r="B83" s="3" t="s">
        <v>320</v>
      </c>
      <c r="C83" s="3">
        <v>41</v>
      </c>
      <c r="D83" s="2" t="s">
        <v>17</v>
      </c>
      <c r="E83" s="3" t="s">
        <v>41</v>
      </c>
      <c r="F83" s="3" t="s">
        <v>255</v>
      </c>
      <c r="G83" s="3" t="s">
        <v>43</v>
      </c>
      <c r="H83" s="26">
        <v>45209</v>
      </c>
      <c r="I83" s="3" t="s">
        <v>45</v>
      </c>
      <c r="J83" s="3" t="s">
        <v>35</v>
      </c>
      <c r="K83" s="2" t="s">
        <v>24</v>
      </c>
      <c r="L83" s="3" t="s">
        <v>37</v>
      </c>
      <c r="M83" s="18" t="s">
        <v>54</v>
      </c>
    </row>
    <row r="84" spans="1:13" ht="15" customHeight="1" x14ac:dyDescent="0.25">
      <c r="A84" s="15" t="s">
        <v>322</v>
      </c>
      <c r="B84" s="2" t="s">
        <v>323</v>
      </c>
      <c r="C84" s="2">
        <v>18</v>
      </c>
      <c r="D84" s="2" t="s">
        <v>17</v>
      </c>
      <c r="E84" s="2" t="s">
        <v>81</v>
      </c>
      <c r="F84" s="2" t="s">
        <v>297</v>
      </c>
      <c r="G84" s="2" t="s">
        <v>20</v>
      </c>
      <c r="H84" s="25">
        <v>45069</v>
      </c>
      <c r="I84" s="2" t="s">
        <v>52</v>
      </c>
      <c r="J84" s="2" t="s">
        <v>23</v>
      </c>
      <c r="K84" s="3" t="s">
        <v>36</v>
      </c>
      <c r="L84" s="2" t="s">
        <v>37</v>
      </c>
      <c r="M84" s="17" t="s">
        <v>54</v>
      </c>
    </row>
    <row r="85" spans="1:13" ht="15" customHeight="1" x14ac:dyDescent="0.25">
      <c r="A85" s="16" t="s">
        <v>324</v>
      </c>
      <c r="B85" s="3" t="s">
        <v>325</v>
      </c>
      <c r="C85" s="3">
        <v>11</v>
      </c>
      <c r="D85" s="2" t="s">
        <v>40</v>
      </c>
      <c r="E85" s="3" t="s">
        <v>95</v>
      </c>
      <c r="F85" s="3" t="s">
        <v>96</v>
      </c>
      <c r="G85" s="2" t="s">
        <v>20</v>
      </c>
      <c r="H85" s="26">
        <v>45144</v>
      </c>
      <c r="I85" s="3" t="s">
        <v>52</v>
      </c>
      <c r="J85" s="3" t="s">
        <v>53</v>
      </c>
      <c r="K85" s="2" t="s">
        <v>24</v>
      </c>
      <c r="L85" s="3" t="s">
        <v>37</v>
      </c>
      <c r="M85" s="18" t="s">
        <v>63</v>
      </c>
    </row>
    <row r="86" spans="1:13" ht="15" customHeight="1" x14ac:dyDescent="0.25">
      <c r="A86" s="15" t="s">
        <v>327</v>
      </c>
      <c r="B86" s="2" t="s">
        <v>328</v>
      </c>
      <c r="C86" s="2">
        <v>22</v>
      </c>
      <c r="D86" s="2" t="s">
        <v>17</v>
      </c>
      <c r="E86" s="2" t="s">
        <v>107</v>
      </c>
      <c r="F86" s="2" t="s">
        <v>154</v>
      </c>
      <c r="G86" s="3" t="s">
        <v>32</v>
      </c>
      <c r="H86" s="25">
        <v>44945</v>
      </c>
      <c r="I86" s="2" t="s">
        <v>34</v>
      </c>
      <c r="J86" s="2" t="s">
        <v>62</v>
      </c>
      <c r="K86" s="3" t="s">
        <v>36</v>
      </c>
      <c r="L86" s="2" t="s">
        <v>114</v>
      </c>
      <c r="M86" s="17" t="s">
        <v>54</v>
      </c>
    </row>
    <row r="87" spans="1:13" ht="15" customHeight="1" x14ac:dyDescent="0.25">
      <c r="A87" s="16" t="s">
        <v>330</v>
      </c>
      <c r="B87" s="3" t="s">
        <v>331</v>
      </c>
      <c r="C87" s="3">
        <v>30</v>
      </c>
      <c r="D87" s="2" t="s">
        <v>17</v>
      </c>
      <c r="E87" s="3" t="s">
        <v>18</v>
      </c>
      <c r="F87" s="3" t="s">
        <v>144</v>
      </c>
      <c r="G87" s="3" t="s">
        <v>32</v>
      </c>
      <c r="H87" s="26">
        <v>45178</v>
      </c>
      <c r="I87" s="3" t="s">
        <v>22</v>
      </c>
      <c r="J87" s="3" t="s">
        <v>35</v>
      </c>
      <c r="K87" s="2" t="s">
        <v>24</v>
      </c>
      <c r="L87" s="3" t="s">
        <v>37</v>
      </c>
      <c r="M87" s="18" t="s">
        <v>54</v>
      </c>
    </row>
    <row r="88" spans="1:13" ht="15" customHeight="1" x14ac:dyDescent="0.25">
      <c r="A88" s="15" t="s">
        <v>333</v>
      </c>
      <c r="B88" s="2" t="s">
        <v>334</v>
      </c>
      <c r="C88" s="2">
        <v>19</v>
      </c>
      <c r="D88" s="2" t="s">
        <v>40</v>
      </c>
      <c r="E88" s="2" t="s">
        <v>41</v>
      </c>
      <c r="F88" s="2" t="s">
        <v>245</v>
      </c>
      <c r="G88" s="2" t="s">
        <v>50</v>
      </c>
      <c r="H88" s="25">
        <v>45254</v>
      </c>
      <c r="I88" s="2" t="s">
        <v>45</v>
      </c>
      <c r="J88" s="2" t="s">
        <v>35</v>
      </c>
      <c r="K88" s="3" t="s">
        <v>36</v>
      </c>
      <c r="L88" s="2" t="s">
        <v>114</v>
      </c>
      <c r="M88" s="17" t="s">
        <v>26</v>
      </c>
    </row>
    <row r="89" spans="1:13" ht="15" customHeight="1" x14ac:dyDescent="0.25">
      <c r="A89" s="16" t="s">
        <v>336</v>
      </c>
      <c r="B89" s="3" t="s">
        <v>337</v>
      </c>
      <c r="C89" s="3">
        <v>20</v>
      </c>
      <c r="D89" s="2" t="s">
        <v>40</v>
      </c>
      <c r="E89" s="3" t="s">
        <v>58</v>
      </c>
      <c r="F89" s="3" t="s">
        <v>239</v>
      </c>
      <c r="G89" s="2" t="s">
        <v>20</v>
      </c>
      <c r="H89" s="26">
        <v>45134</v>
      </c>
      <c r="I89" s="3" t="s">
        <v>22</v>
      </c>
      <c r="J89" s="3" t="s">
        <v>62</v>
      </c>
      <c r="K89" s="2" t="s">
        <v>24</v>
      </c>
      <c r="L89" s="3" t="s">
        <v>25</v>
      </c>
      <c r="M89" s="18" t="s">
        <v>54</v>
      </c>
    </row>
    <row r="90" spans="1:13" ht="15" customHeight="1" x14ac:dyDescent="0.25">
      <c r="A90" s="15" t="s">
        <v>339</v>
      </c>
      <c r="B90" s="2" t="s">
        <v>340</v>
      </c>
      <c r="C90" s="2">
        <v>76</v>
      </c>
      <c r="D90" s="2" t="s">
        <v>40</v>
      </c>
      <c r="E90" s="2" t="s">
        <v>76</v>
      </c>
      <c r="F90" s="2" t="s">
        <v>259</v>
      </c>
      <c r="G90" s="2" t="s">
        <v>20</v>
      </c>
      <c r="H90" s="25">
        <v>45257</v>
      </c>
      <c r="I90" s="2" t="s">
        <v>45</v>
      </c>
      <c r="J90" s="2" t="s">
        <v>53</v>
      </c>
      <c r="K90" s="2" t="s">
        <v>24</v>
      </c>
      <c r="L90" s="2" t="s">
        <v>37</v>
      </c>
      <c r="M90" s="17" t="s">
        <v>26</v>
      </c>
    </row>
    <row r="91" spans="1:13" ht="15" customHeight="1" x14ac:dyDescent="0.25">
      <c r="A91" s="16" t="s">
        <v>341</v>
      </c>
      <c r="B91" s="3" t="s">
        <v>342</v>
      </c>
      <c r="C91" s="3">
        <v>43</v>
      </c>
      <c r="D91" s="2" t="s">
        <v>40</v>
      </c>
      <c r="E91" s="3" t="s">
        <v>41</v>
      </c>
      <c r="F91" s="3" t="s">
        <v>49</v>
      </c>
      <c r="G91" s="3" t="s">
        <v>50</v>
      </c>
      <c r="H91" s="26">
        <v>45055</v>
      </c>
      <c r="I91" s="3" t="s">
        <v>22</v>
      </c>
      <c r="J91" s="3" t="s">
        <v>35</v>
      </c>
      <c r="K91" s="3" t="s">
        <v>36</v>
      </c>
      <c r="L91" s="3" t="s">
        <v>114</v>
      </c>
      <c r="M91" s="18" t="s">
        <v>63</v>
      </c>
    </row>
    <row r="92" spans="1:13" ht="15" customHeight="1" x14ac:dyDescent="0.25">
      <c r="A92" s="15" t="s">
        <v>344</v>
      </c>
      <c r="B92" s="2" t="s">
        <v>345</v>
      </c>
      <c r="C92" s="2">
        <v>58</v>
      </c>
      <c r="D92" s="2" t="s">
        <v>17</v>
      </c>
      <c r="E92" s="2" t="s">
        <v>81</v>
      </c>
      <c r="F92" s="2" t="s">
        <v>162</v>
      </c>
      <c r="G92" s="3" t="s">
        <v>32</v>
      </c>
      <c r="H92" s="25">
        <v>45213</v>
      </c>
      <c r="I92" s="2" t="s">
        <v>45</v>
      </c>
      <c r="J92" s="2" t="s">
        <v>23</v>
      </c>
      <c r="K92" s="3" t="s">
        <v>36</v>
      </c>
      <c r="L92" s="2" t="s">
        <v>114</v>
      </c>
      <c r="M92" s="17" t="s">
        <v>26</v>
      </c>
    </row>
    <row r="93" spans="1:13" ht="15" customHeight="1" x14ac:dyDescent="0.25">
      <c r="A93" s="16" t="s">
        <v>347</v>
      </c>
      <c r="B93" s="3" t="s">
        <v>348</v>
      </c>
      <c r="C93" s="3">
        <v>51</v>
      </c>
      <c r="D93" s="2" t="s">
        <v>17</v>
      </c>
      <c r="E93" s="3" t="s">
        <v>58</v>
      </c>
      <c r="F93" s="3" t="s">
        <v>239</v>
      </c>
      <c r="G93" s="3" t="s">
        <v>32</v>
      </c>
      <c r="H93" s="26">
        <v>45176</v>
      </c>
      <c r="I93" s="3" t="s">
        <v>22</v>
      </c>
      <c r="J93" s="3" t="s">
        <v>53</v>
      </c>
      <c r="K93" s="2" t="s">
        <v>24</v>
      </c>
      <c r="L93" s="3" t="s">
        <v>37</v>
      </c>
      <c r="M93" s="18" t="s">
        <v>26</v>
      </c>
    </row>
    <row r="94" spans="1:13" ht="15" customHeight="1" x14ac:dyDescent="0.25">
      <c r="A94" s="15" t="s">
        <v>349</v>
      </c>
      <c r="B94" s="2" t="s">
        <v>350</v>
      </c>
      <c r="C94" s="2">
        <v>81</v>
      </c>
      <c r="D94" s="2" t="s">
        <v>17</v>
      </c>
      <c r="E94" s="2" t="s">
        <v>107</v>
      </c>
      <c r="F94" s="2" t="s">
        <v>154</v>
      </c>
      <c r="G94" s="2" t="s">
        <v>50</v>
      </c>
      <c r="H94" s="25">
        <v>45011</v>
      </c>
      <c r="I94" s="2" t="s">
        <v>34</v>
      </c>
      <c r="J94" s="2" t="s">
        <v>53</v>
      </c>
      <c r="K94" s="2" t="s">
        <v>24</v>
      </c>
      <c r="L94" s="2" t="s">
        <v>46</v>
      </c>
      <c r="M94" s="17" t="s">
        <v>26</v>
      </c>
    </row>
    <row r="95" spans="1:13" ht="15" customHeight="1" x14ac:dyDescent="0.25">
      <c r="A95" s="16" t="s">
        <v>352</v>
      </c>
      <c r="B95" s="3" t="s">
        <v>353</v>
      </c>
      <c r="C95" s="3">
        <v>34</v>
      </c>
      <c r="D95" s="2" t="s">
        <v>40</v>
      </c>
      <c r="E95" s="3" t="s">
        <v>183</v>
      </c>
      <c r="F95" s="3" t="s">
        <v>184</v>
      </c>
      <c r="G95" s="3" t="s">
        <v>60</v>
      </c>
      <c r="H95" s="26">
        <v>45049</v>
      </c>
      <c r="I95" s="3" t="s">
        <v>34</v>
      </c>
      <c r="J95" s="3" t="s">
        <v>23</v>
      </c>
      <c r="K95" s="3" t="s">
        <v>36</v>
      </c>
      <c r="L95" s="3" t="s">
        <v>114</v>
      </c>
      <c r="M95" s="18" t="s">
        <v>63</v>
      </c>
    </row>
    <row r="96" spans="1:13" ht="15" customHeight="1" x14ac:dyDescent="0.25">
      <c r="A96" s="15" t="s">
        <v>355</v>
      </c>
      <c r="B96" s="2" t="s">
        <v>356</v>
      </c>
      <c r="C96" s="2">
        <v>8</v>
      </c>
      <c r="D96" s="2" t="s">
        <v>17</v>
      </c>
      <c r="E96" s="2" t="s">
        <v>95</v>
      </c>
      <c r="F96" s="2" t="s">
        <v>166</v>
      </c>
      <c r="G96" s="2" t="s">
        <v>91</v>
      </c>
      <c r="H96" s="25">
        <v>45274</v>
      </c>
      <c r="I96" s="2" t="s">
        <v>45</v>
      </c>
      <c r="J96" s="2" t="s">
        <v>62</v>
      </c>
      <c r="K96" s="2" t="s">
        <v>24</v>
      </c>
      <c r="L96" s="2" t="s">
        <v>37</v>
      </c>
      <c r="M96" s="17" t="s">
        <v>54</v>
      </c>
    </row>
    <row r="97" spans="1:13" ht="15" customHeight="1" x14ac:dyDescent="0.25">
      <c r="A97" s="16" t="s">
        <v>358</v>
      </c>
      <c r="B97" s="3" t="s">
        <v>359</v>
      </c>
      <c r="C97" s="3">
        <v>18</v>
      </c>
      <c r="D97" s="2" t="s">
        <v>40</v>
      </c>
      <c r="E97" s="3" t="s">
        <v>18</v>
      </c>
      <c r="F97" s="3" t="s">
        <v>66</v>
      </c>
      <c r="G97" s="2" t="s">
        <v>20</v>
      </c>
      <c r="H97" s="26">
        <v>44950</v>
      </c>
      <c r="I97" s="3" t="s">
        <v>34</v>
      </c>
      <c r="J97" s="3" t="s">
        <v>23</v>
      </c>
      <c r="K97" s="3" t="s">
        <v>36</v>
      </c>
      <c r="L97" s="3" t="s">
        <v>37</v>
      </c>
      <c r="M97" s="18" t="s">
        <v>26</v>
      </c>
    </row>
    <row r="98" spans="1:13" ht="15" customHeight="1" x14ac:dyDescent="0.25">
      <c r="A98" s="15" t="s">
        <v>361</v>
      </c>
      <c r="B98" s="2" t="s">
        <v>362</v>
      </c>
      <c r="C98" s="2">
        <v>18</v>
      </c>
      <c r="D98" s="2" t="s">
        <v>40</v>
      </c>
      <c r="E98" s="2" t="s">
        <v>30</v>
      </c>
      <c r="F98" s="2" t="s">
        <v>272</v>
      </c>
      <c r="G98" s="2" t="s">
        <v>20</v>
      </c>
      <c r="H98" s="25">
        <v>45097</v>
      </c>
      <c r="I98" s="2" t="s">
        <v>52</v>
      </c>
      <c r="J98" s="2" t="s">
        <v>35</v>
      </c>
      <c r="K98" s="2" t="s">
        <v>24</v>
      </c>
      <c r="L98" s="2" t="s">
        <v>37</v>
      </c>
      <c r="M98" s="17" t="s">
        <v>54</v>
      </c>
    </row>
    <row r="99" spans="1:13" ht="15" customHeight="1" x14ac:dyDescent="0.25">
      <c r="A99" s="16" t="s">
        <v>364</v>
      </c>
      <c r="B99" s="3" t="s">
        <v>365</v>
      </c>
      <c r="C99" s="3">
        <v>46</v>
      </c>
      <c r="D99" s="2" t="s">
        <v>40</v>
      </c>
      <c r="E99" s="3" t="s">
        <v>76</v>
      </c>
      <c r="F99" s="3" t="s">
        <v>366</v>
      </c>
      <c r="G99" s="3" t="s">
        <v>32</v>
      </c>
      <c r="H99" s="26">
        <v>45189</v>
      </c>
      <c r="I99" s="3" t="s">
        <v>22</v>
      </c>
      <c r="J99" s="3" t="s">
        <v>35</v>
      </c>
      <c r="K99" s="2" t="s">
        <v>24</v>
      </c>
      <c r="L99" s="3" t="s">
        <v>114</v>
      </c>
      <c r="M99" s="18" t="s">
        <v>63</v>
      </c>
    </row>
    <row r="100" spans="1:13" ht="15" customHeight="1" x14ac:dyDescent="0.25">
      <c r="A100" s="15" t="s">
        <v>368</v>
      </c>
      <c r="B100" s="2" t="s">
        <v>369</v>
      </c>
      <c r="C100" s="2">
        <v>32</v>
      </c>
      <c r="D100" s="2" t="s">
        <v>40</v>
      </c>
      <c r="E100" s="2" t="s">
        <v>30</v>
      </c>
      <c r="F100" s="2" t="s">
        <v>211</v>
      </c>
      <c r="G100" s="2" t="s">
        <v>72</v>
      </c>
      <c r="H100" s="25">
        <v>45104</v>
      </c>
      <c r="I100" s="2" t="s">
        <v>52</v>
      </c>
      <c r="J100" s="2" t="s">
        <v>53</v>
      </c>
      <c r="K100" s="2" t="s">
        <v>24</v>
      </c>
      <c r="L100" s="2" t="s">
        <v>37</v>
      </c>
      <c r="M100" s="17" t="s">
        <v>63</v>
      </c>
    </row>
    <row r="101" spans="1:13" ht="15" customHeight="1" x14ac:dyDescent="0.25">
      <c r="A101" s="16" t="s">
        <v>371</v>
      </c>
      <c r="B101" s="3" t="s">
        <v>372</v>
      </c>
      <c r="C101" s="3">
        <v>37</v>
      </c>
      <c r="D101" s="2" t="s">
        <v>40</v>
      </c>
      <c r="E101" s="3" t="s">
        <v>183</v>
      </c>
      <c r="F101" s="3" t="s">
        <v>373</v>
      </c>
      <c r="G101" s="2" t="s">
        <v>20</v>
      </c>
      <c r="H101" s="26">
        <v>44984</v>
      </c>
      <c r="I101" s="3" t="s">
        <v>34</v>
      </c>
      <c r="J101" s="3" t="s">
        <v>62</v>
      </c>
      <c r="K101" s="2" t="s">
        <v>24</v>
      </c>
      <c r="L101" s="3" t="s">
        <v>37</v>
      </c>
      <c r="M101" s="18" t="s">
        <v>26</v>
      </c>
    </row>
    <row r="102" spans="1:13" ht="15" customHeight="1" x14ac:dyDescent="0.25">
      <c r="A102" s="15" t="s">
        <v>375</v>
      </c>
      <c r="B102" s="2" t="s">
        <v>376</v>
      </c>
      <c r="C102" s="2">
        <v>21</v>
      </c>
      <c r="D102" s="2" t="s">
        <v>17</v>
      </c>
      <c r="E102" s="2" t="s">
        <v>76</v>
      </c>
      <c r="F102" s="2" t="s">
        <v>366</v>
      </c>
      <c r="G102" s="2" t="s">
        <v>20</v>
      </c>
      <c r="H102" s="25">
        <v>45267</v>
      </c>
      <c r="I102" s="2" t="s">
        <v>22</v>
      </c>
      <c r="J102" s="2" t="s">
        <v>35</v>
      </c>
      <c r="K102" s="3" t="s">
        <v>36</v>
      </c>
      <c r="L102" s="2" t="s">
        <v>37</v>
      </c>
      <c r="M102" s="17" t="s">
        <v>63</v>
      </c>
    </row>
    <row r="103" spans="1:13" ht="15" customHeight="1" x14ac:dyDescent="0.25">
      <c r="A103" s="22" t="s">
        <v>377</v>
      </c>
      <c r="B103" s="23" t="s">
        <v>378</v>
      </c>
      <c r="C103" s="23">
        <v>69</v>
      </c>
      <c r="D103" s="2" t="s">
        <v>17</v>
      </c>
      <c r="E103" s="23" t="s">
        <v>183</v>
      </c>
      <c r="F103" s="23" t="s">
        <v>373</v>
      </c>
      <c r="G103" s="23" t="s">
        <v>50</v>
      </c>
      <c r="H103" s="27">
        <v>45262</v>
      </c>
      <c r="I103" s="23" t="s">
        <v>34</v>
      </c>
      <c r="J103" s="23" t="s">
        <v>62</v>
      </c>
      <c r="K103" s="2" t="s">
        <v>24</v>
      </c>
      <c r="L103" s="23" t="s">
        <v>37</v>
      </c>
      <c r="M103" s="24" t="s">
        <v>63</v>
      </c>
    </row>
    <row r="104" spans="1:13" ht="15" customHeight="1" x14ac:dyDescent="0.25"/>
  </sheetData>
  <mergeCells count="2">
    <mergeCell ref="A1:M1"/>
    <mergeCell ref="A2:M2"/>
  </mergeCells>
  <conditionalFormatting sqref="A5:M103">
    <cfRule type="containsText" dxfId="0" priority="1" operator="containsText" text="N/A">
      <formula>NOT(ISERROR(SEARCH("N/A",A5)))</formula>
    </cfRule>
  </conditionalFormatting>
  <dataValidations count="3">
    <dataValidation type="list" allowBlank="1" showInputMessage="1" showErrorMessage="1" sqref="D5:D103" xr:uid="{F61B4E6D-4418-4BA9-84AE-4B67ACE71B5B}">
      <formula1>$D$5:$D$103</formula1>
    </dataValidation>
    <dataValidation type="list" allowBlank="1" showInputMessage="1" showErrorMessage="1" sqref="K5:K103" xr:uid="{5E6988E6-CB8E-4AF7-88F0-AA2E5E5A99FF}">
      <formula1>$K$5:$K$103</formula1>
    </dataValidation>
    <dataValidation type="list" allowBlank="1" showInputMessage="1" showErrorMessage="1" sqref="L5:L103" xr:uid="{E608AF0E-B645-4896-9A80-76966366FBA5}">
      <formula1>$L$5:$L$103</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B26AD-49B2-44D3-A3FD-1D25C399107D}">
  <sheetPr>
    <tabColor theme="1" tint="4.9989318521683403E-2"/>
  </sheetPr>
  <dimension ref="A3:H70"/>
  <sheetViews>
    <sheetView workbookViewId="0">
      <selection activeCell="B53" sqref="B53"/>
    </sheetView>
  </sheetViews>
  <sheetFormatPr defaultRowHeight="15" x14ac:dyDescent="0.25"/>
  <cols>
    <col min="1" max="1" width="13.140625" bestFit="1" customWidth="1"/>
    <col min="2" max="2" width="18.85546875" bestFit="1" customWidth="1"/>
    <col min="3" max="3" width="9.140625" bestFit="1" customWidth="1"/>
    <col min="4" max="4" width="7.7109375" bestFit="1" customWidth="1"/>
    <col min="5" max="5" width="12.28515625" bestFit="1" customWidth="1"/>
    <col min="6" max="6" width="11.140625" bestFit="1" customWidth="1"/>
    <col min="7" max="7" width="3.140625" bestFit="1" customWidth="1"/>
    <col min="8" max="8" width="8.140625" bestFit="1" customWidth="1"/>
    <col min="9" max="9" width="18.85546875" bestFit="1" customWidth="1"/>
    <col min="10" max="10" width="16" bestFit="1" customWidth="1"/>
    <col min="11" max="11" width="18.85546875" bestFit="1" customWidth="1"/>
    <col min="12" max="12" width="16" bestFit="1" customWidth="1"/>
    <col min="13" max="13" width="18.85546875" bestFit="1" customWidth="1"/>
    <col min="14" max="14" width="16" bestFit="1" customWidth="1"/>
    <col min="15" max="15" width="18.85546875" bestFit="1" customWidth="1"/>
    <col min="16" max="16" width="16.140625" bestFit="1" customWidth="1"/>
    <col min="17" max="17" width="7.5703125" bestFit="1" customWidth="1"/>
    <col min="18" max="18" width="5.5703125" bestFit="1" customWidth="1"/>
    <col min="19" max="19" width="8" bestFit="1" customWidth="1"/>
    <col min="20" max="20" width="10" bestFit="1" customWidth="1"/>
    <col min="21" max="21" width="5.5703125" bestFit="1" customWidth="1"/>
    <col min="22" max="22" width="13.140625" bestFit="1" customWidth="1"/>
    <col min="23" max="23" width="11.28515625" bestFit="1" customWidth="1"/>
  </cols>
  <sheetData>
    <row r="3" spans="1:2" x14ac:dyDescent="0.25">
      <c r="A3" s="29" t="s">
        <v>424</v>
      </c>
      <c r="B3" t="s">
        <v>427</v>
      </c>
    </row>
    <row r="4" spans="1:2" x14ac:dyDescent="0.25">
      <c r="A4" s="30" t="s">
        <v>18</v>
      </c>
      <c r="B4" s="31">
        <v>13</v>
      </c>
    </row>
    <row r="5" spans="1:2" x14ac:dyDescent="0.25">
      <c r="A5" s="30" t="s">
        <v>81</v>
      </c>
      <c r="B5" s="31">
        <v>12</v>
      </c>
    </row>
    <row r="6" spans="1:2" x14ac:dyDescent="0.25">
      <c r="A6" s="30" t="s">
        <v>41</v>
      </c>
      <c r="B6" s="31">
        <v>11</v>
      </c>
    </row>
    <row r="7" spans="1:2" x14ac:dyDescent="0.25">
      <c r="A7" s="30" t="s">
        <v>107</v>
      </c>
      <c r="B7" s="31">
        <v>11</v>
      </c>
    </row>
    <row r="8" spans="1:2" x14ac:dyDescent="0.25">
      <c r="A8" s="30" t="s">
        <v>30</v>
      </c>
      <c r="B8" s="31">
        <v>10</v>
      </c>
    </row>
    <row r="9" spans="1:2" x14ac:dyDescent="0.25">
      <c r="A9" s="30" t="s">
        <v>76</v>
      </c>
      <c r="B9" s="31">
        <v>10</v>
      </c>
    </row>
    <row r="10" spans="1:2" x14ac:dyDescent="0.25">
      <c r="A10" s="30" t="s">
        <v>95</v>
      </c>
      <c r="B10" s="31">
        <v>10</v>
      </c>
    </row>
    <row r="11" spans="1:2" x14ac:dyDescent="0.25">
      <c r="A11" s="30" t="s">
        <v>58</v>
      </c>
      <c r="B11" s="31">
        <v>9</v>
      </c>
    </row>
    <row r="12" spans="1:2" x14ac:dyDescent="0.25">
      <c r="A12" s="30" t="s">
        <v>70</v>
      </c>
      <c r="B12" s="31">
        <v>8</v>
      </c>
    </row>
    <row r="13" spans="1:2" x14ac:dyDescent="0.25">
      <c r="A13" s="30" t="s">
        <v>183</v>
      </c>
      <c r="B13" s="31">
        <v>5</v>
      </c>
    </row>
    <row r="14" spans="1:2" x14ac:dyDescent="0.25">
      <c r="A14" s="30" t="s">
        <v>425</v>
      </c>
      <c r="B14" s="31">
        <v>99</v>
      </c>
    </row>
    <row r="21" spans="1:2" x14ac:dyDescent="0.25">
      <c r="A21" s="29" t="s">
        <v>424</v>
      </c>
      <c r="B21" t="s">
        <v>427</v>
      </c>
    </row>
    <row r="22" spans="1:2" x14ac:dyDescent="0.25">
      <c r="A22" s="30" t="s">
        <v>34</v>
      </c>
      <c r="B22" s="31">
        <v>23</v>
      </c>
    </row>
    <row r="23" spans="1:2" x14ac:dyDescent="0.25">
      <c r="A23" s="30" t="s">
        <v>52</v>
      </c>
      <c r="B23" s="31">
        <v>26</v>
      </c>
    </row>
    <row r="24" spans="1:2" x14ac:dyDescent="0.25">
      <c r="A24" s="30" t="s">
        <v>22</v>
      </c>
      <c r="B24" s="31">
        <v>29</v>
      </c>
    </row>
    <row r="25" spans="1:2" x14ac:dyDescent="0.25">
      <c r="A25" s="30" t="s">
        <v>45</v>
      </c>
      <c r="B25" s="31">
        <v>21</v>
      </c>
    </row>
    <row r="26" spans="1:2" x14ac:dyDescent="0.25">
      <c r="A26" s="30" t="s">
        <v>425</v>
      </c>
      <c r="B26" s="31">
        <v>99</v>
      </c>
    </row>
    <row r="37" spans="1:2" x14ac:dyDescent="0.25">
      <c r="A37" s="29" t="s">
        <v>424</v>
      </c>
      <c r="B37" t="s">
        <v>428</v>
      </c>
    </row>
    <row r="38" spans="1:2" x14ac:dyDescent="0.25">
      <c r="A38" s="30" t="s">
        <v>25</v>
      </c>
      <c r="B38" s="32">
        <v>7.0707070707070704E-2</v>
      </c>
    </row>
    <row r="39" spans="1:2" x14ac:dyDescent="0.25">
      <c r="A39" s="30" t="s">
        <v>37</v>
      </c>
      <c r="B39" s="32">
        <v>0.5757575757575758</v>
      </c>
    </row>
    <row r="40" spans="1:2" x14ac:dyDescent="0.25">
      <c r="A40" s="30" t="s">
        <v>46</v>
      </c>
      <c r="B40" s="32">
        <v>0.12121212121212122</v>
      </c>
    </row>
    <row r="41" spans="1:2" x14ac:dyDescent="0.25">
      <c r="A41" s="30" t="s">
        <v>114</v>
      </c>
      <c r="B41" s="32">
        <v>0.23232323232323232</v>
      </c>
    </row>
    <row r="42" spans="1:2" x14ac:dyDescent="0.25">
      <c r="A42" s="30" t="s">
        <v>425</v>
      </c>
      <c r="B42" s="32">
        <v>1</v>
      </c>
    </row>
    <row r="53" spans="1:8" x14ac:dyDescent="0.25">
      <c r="A53" s="29" t="s">
        <v>427</v>
      </c>
      <c r="B53" s="29" t="s">
        <v>426</v>
      </c>
    </row>
    <row r="54" spans="1:8" x14ac:dyDescent="0.25">
      <c r="A54" s="29" t="s">
        <v>424</v>
      </c>
      <c r="B54" t="s">
        <v>91</v>
      </c>
      <c r="C54" t="s">
        <v>50</v>
      </c>
      <c r="D54" t="s">
        <v>32</v>
      </c>
      <c r="E54" t="s">
        <v>43</v>
      </c>
      <c r="F54" t="s">
        <v>60</v>
      </c>
      <c r="G54" t="s">
        <v>20</v>
      </c>
      <c r="H54" t="s">
        <v>72</v>
      </c>
    </row>
    <row r="55" spans="1:8" x14ac:dyDescent="0.25">
      <c r="A55" s="30" t="s">
        <v>40</v>
      </c>
      <c r="B55" s="31">
        <v>4</v>
      </c>
      <c r="C55" s="31">
        <v>7</v>
      </c>
      <c r="D55" s="31">
        <v>13</v>
      </c>
      <c r="E55" s="31">
        <v>4</v>
      </c>
      <c r="F55" s="31">
        <v>7</v>
      </c>
      <c r="G55" s="31">
        <v>17</v>
      </c>
      <c r="H55" s="31">
        <v>4</v>
      </c>
    </row>
    <row r="56" spans="1:8" x14ac:dyDescent="0.25">
      <c r="A56" s="30" t="s">
        <v>17</v>
      </c>
      <c r="B56" s="31">
        <v>3</v>
      </c>
      <c r="C56" s="31">
        <v>7</v>
      </c>
      <c r="D56" s="31">
        <v>17</v>
      </c>
      <c r="E56" s="31">
        <v>5</v>
      </c>
      <c r="F56" s="31">
        <v>3</v>
      </c>
      <c r="G56" s="31">
        <v>7</v>
      </c>
      <c r="H56" s="31">
        <v>1</v>
      </c>
    </row>
    <row r="67" spans="1:2" x14ac:dyDescent="0.25">
      <c r="A67" s="29" t="s">
        <v>424</v>
      </c>
      <c r="B67" t="s">
        <v>429</v>
      </c>
    </row>
    <row r="68" spans="1:2" x14ac:dyDescent="0.25">
      <c r="A68" s="30" t="s">
        <v>63</v>
      </c>
      <c r="B68" s="33">
        <v>0.35353535353535354</v>
      </c>
    </row>
    <row r="69" spans="1:2" x14ac:dyDescent="0.25">
      <c r="A69" s="30" t="s">
        <v>54</v>
      </c>
      <c r="B69" s="33">
        <v>0.22222222222222221</v>
      </c>
    </row>
    <row r="70" spans="1:2" x14ac:dyDescent="0.25">
      <c r="A70" s="30" t="s">
        <v>26</v>
      </c>
      <c r="B70" s="33">
        <v>0.42424242424242425</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CA753-1279-4B40-9FD9-BD89A411D582}">
  <sheetPr>
    <tabColor theme="1" tint="4.9989318521683403E-2"/>
  </sheetPr>
  <dimension ref="A3:B11"/>
  <sheetViews>
    <sheetView workbookViewId="0">
      <selection activeCell="B6" sqref="B6"/>
    </sheetView>
  </sheetViews>
  <sheetFormatPr defaultRowHeight="15" x14ac:dyDescent="0.25"/>
  <cols>
    <col min="1" max="1" width="13.140625" bestFit="1" customWidth="1"/>
    <col min="2" max="2" width="16" bestFit="1" customWidth="1"/>
  </cols>
  <sheetData>
    <row r="3" spans="1:2" x14ac:dyDescent="0.25">
      <c r="A3" s="29" t="s">
        <v>424</v>
      </c>
      <c r="B3" t="s">
        <v>427</v>
      </c>
    </row>
    <row r="4" spans="1:2" x14ac:dyDescent="0.25">
      <c r="A4" s="30" t="s">
        <v>91</v>
      </c>
      <c r="B4" s="31">
        <v>7</v>
      </c>
    </row>
    <row r="5" spans="1:2" x14ac:dyDescent="0.25">
      <c r="A5" s="30" t="s">
        <v>50</v>
      </c>
      <c r="B5" s="31">
        <v>14</v>
      </c>
    </row>
    <row r="6" spans="1:2" x14ac:dyDescent="0.25">
      <c r="A6" s="30" t="s">
        <v>32</v>
      </c>
      <c r="B6" s="31">
        <v>30</v>
      </c>
    </row>
    <row r="7" spans="1:2" x14ac:dyDescent="0.25">
      <c r="A7" s="30" t="s">
        <v>43</v>
      </c>
      <c r="B7" s="31">
        <v>9</v>
      </c>
    </row>
    <row r="8" spans="1:2" x14ac:dyDescent="0.25">
      <c r="A8" s="30" t="s">
        <v>60</v>
      </c>
      <c r="B8" s="31">
        <v>10</v>
      </c>
    </row>
    <row r="9" spans="1:2" x14ac:dyDescent="0.25">
      <c r="A9" s="30" t="s">
        <v>20</v>
      </c>
      <c r="B9" s="31">
        <v>24</v>
      </c>
    </row>
    <row r="10" spans="1:2" x14ac:dyDescent="0.25">
      <c r="A10" s="30" t="s">
        <v>72</v>
      </c>
      <c r="B10" s="31">
        <v>5</v>
      </c>
    </row>
    <row r="11" spans="1:2" x14ac:dyDescent="0.25">
      <c r="A11" s="30" t="s">
        <v>425</v>
      </c>
      <c r="B11" s="31">
        <v>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3BD11-AAEC-4F34-9C53-6A9751360F68}">
  <sheetPr>
    <tabColor theme="8" tint="-0.249977111117893"/>
  </sheetPr>
  <dimension ref="A1:AJ217"/>
  <sheetViews>
    <sheetView showGridLines="0" tabSelected="1" zoomScale="80" zoomScaleNormal="80" workbookViewId="0">
      <selection activeCell="Z11" sqref="Z11"/>
    </sheetView>
  </sheetViews>
  <sheetFormatPr defaultRowHeight="15" x14ac:dyDescent="0.25"/>
  <sheetData>
    <row r="1" spans="1:36" ht="15" customHeight="1" x14ac:dyDescent="0.6">
      <c r="A1" s="34"/>
      <c r="B1" s="34"/>
      <c r="C1" s="34"/>
      <c r="D1" s="36"/>
      <c r="E1" s="36"/>
      <c r="F1" s="39" t="s">
        <v>430</v>
      </c>
      <c r="G1" s="38"/>
      <c r="H1" s="38"/>
      <c r="I1" s="38"/>
      <c r="J1" s="38"/>
      <c r="K1" s="38"/>
      <c r="L1" s="38"/>
      <c r="M1" s="38"/>
      <c r="N1" s="38"/>
      <c r="O1" s="37"/>
      <c r="P1" s="37"/>
      <c r="Q1" s="37"/>
      <c r="R1" s="36"/>
      <c r="S1" s="36"/>
      <c r="T1" s="36"/>
      <c r="U1" s="36"/>
      <c r="V1" s="36"/>
      <c r="W1" s="36"/>
      <c r="X1" s="36"/>
      <c r="Y1" s="36"/>
      <c r="Z1" s="36"/>
      <c r="AA1" s="35"/>
      <c r="AB1" s="35"/>
      <c r="AC1" s="35"/>
      <c r="AD1" s="35"/>
      <c r="AE1" s="35"/>
      <c r="AF1" s="35"/>
      <c r="AG1" s="35"/>
      <c r="AH1" s="35"/>
      <c r="AI1" s="35"/>
      <c r="AJ1" s="35"/>
    </row>
    <row r="2" spans="1:36" ht="15" customHeight="1" x14ac:dyDescent="0.6">
      <c r="A2" s="34"/>
      <c r="B2" s="34"/>
      <c r="C2" s="34"/>
      <c r="D2" s="36"/>
      <c r="E2" s="36"/>
      <c r="F2" s="38"/>
      <c r="G2" s="38"/>
      <c r="H2" s="38"/>
      <c r="I2" s="38"/>
      <c r="J2" s="38"/>
      <c r="K2" s="38"/>
      <c r="L2" s="38"/>
      <c r="M2" s="38"/>
      <c r="N2" s="38"/>
      <c r="O2" s="37"/>
      <c r="P2" s="37"/>
      <c r="Q2" s="37"/>
      <c r="R2" s="36"/>
      <c r="S2" s="36"/>
      <c r="T2" s="36"/>
      <c r="U2" s="36"/>
      <c r="V2" s="36"/>
      <c r="W2" s="36"/>
      <c r="X2" s="36"/>
      <c r="Y2" s="36"/>
      <c r="Z2" s="36"/>
      <c r="AA2" s="35"/>
      <c r="AB2" s="35"/>
      <c r="AC2" s="35"/>
      <c r="AD2" s="35"/>
      <c r="AE2" s="35"/>
      <c r="AF2" s="35"/>
      <c r="AG2" s="35"/>
      <c r="AH2" s="35"/>
      <c r="AI2" s="35"/>
      <c r="AJ2" s="35"/>
    </row>
    <row r="3" spans="1:36" ht="15" customHeight="1" x14ac:dyDescent="0.6">
      <c r="A3" s="34"/>
      <c r="B3" s="34"/>
      <c r="C3" s="34"/>
      <c r="D3" s="36"/>
      <c r="E3" s="36"/>
      <c r="F3" s="38"/>
      <c r="G3" s="38"/>
      <c r="H3" s="38"/>
      <c r="I3" s="38"/>
      <c r="J3" s="38"/>
      <c r="K3" s="38"/>
      <c r="L3" s="38"/>
      <c r="M3" s="38"/>
      <c r="N3" s="38"/>
      <c r="O3" s="37"/>
      <c r="P3" s="37"/>
      <c r="Q3" s="37"/>
      <c r="R3" s="36"/>
      <c r="S3" s="36"/>
      <c r="T3" s="36"/>
      <c r="U3" s="36"/>
      <c r="V3" s="36"/>
      <c r="W3" s="36"/>
      <c r="X3" s="36"/>
      <c r="Y3" s="36"/>
      <c r="Z3" s="36"/>
      <c r="AA3" s="35"/>
      <c r="AB3" s="35"/>
      <c r="AC3" s="35"/>
      <c r="AD3" s="35"/>
      <c r="AE3" s="35"/>
      <c r="AF3" s="35"/>
      <c r="AG3" s="35"/>
      <c r="AH3" s="35"/>
      <c r="AI3" s="35"/>
      <c r="AJ3" s="35"/>
    </row>
    <row r="4" spans="1:36" ht="15" customHeight="1" x14ac:dyDescent="0.6">
      <c r="A4" s="34"/>
      <c r="B4" s="34"/>
      <c r="C4" s="34"/>
      <c r="D4" s="36"/>
      <c r="E4" s="36"/>
      <c r="F4" s="38"/>
      <c r="G4" s="38"/>
      <c r="H4" s="38"/>
      <c r="I4" s="38"/>
      <c r="J4" s="38"/>
      <c r="K4" s="38"/>
      <c r="L4" s="38"/>
      <c r="M4" s="38"/>
      <c r="N4" s="38"/>
      <c r="O4" s="37"/>
      <c r="P4" s="37"/>
      <c r="Q4" s="37"/>
      <c r="R4" s="36"/>
      <c r="S4" s="36"/>
      <c r="T4" s="36"/>
      <c r="U4" s="36"/>
      <c r="V4" s="36"/>
      <c r="W4" s="36"/>
      <c r="X4" s="36"/>
      <c r="Y4" s="36"/>
      <c r="Z4" s="36"/>
      <c r="AA4" s="35"/>
      <c r="AB4" s="35"/>
      <c r="AC4" s="35"/>
      <c r="AD4" s="35"/>
      <c r="AE4" s="35"/>
      <c r="AF4" s="35"/>
      <c r="AG4" s="35"/>
      <c r="AH4" s="35"/>
      <c r="AI4" s="35"/>
      <c r="AJ4" s="35"/>
    </row>
    <row r="5" spans="1:36" ht="15" customHeight="1" x14ac:dyDescent="0.6">
      <c r="A5" s="34"/>
      <c r="B5" s="34"/>
      <c r="C5" s="34"/>
      <c r="D5" s="36"/>
      <c r="E5" s="36"/>
      <c r="F5" s="36"/>
      <c r="G5" s="36"/>
      <c r="H5" s="36"/>
      <c r="I5" s="37"/>
      <c r="J5" s="37"/>
      <c r="K5" s="37"/>
      <c r="L5" s="37"/>
      <c r="M5" s="37"/>
      <c r="N5" s="37"/>
      <c r="O5" s="37"/>
      <c r="P5" s="37"/>
      <c r="Q5" s="37"/>
      <c r="R5" s="36"/>
      <c r="S5" s="36"/>
      <c r="T5" s="36"/>
      <c r="U5" s="36"/>
      <c r="V5" s="36"/>
      <c r="W5" s="36"/>
      <c r="X5" s="36"/>
      <c r="Y5" s="36"/>
      <c r="Z5" s="36"/>
      <c r="AA5" s="35"/>
      <c r="AB5" s="35"/>
      <c r="AC5" s="35"/>
      <c r="AD5" s="35"/>
      <c r="AE5" s="35"/>
      <c r="AF5" s="35"/>
      <c r="AG5" s="35"/>
      <c r="AH5" s="35"/>
      <c r="AI5" s="35"/>
      <c r="AJ5" s="35"/>
    </row>
    <row r="6" spans="1:36" x14ac:dyDescent="0.25">
      <c r="A6" s="34"/>
      <c r="B6" s="34"/>
      <c r="C6" s="34"/>
      <c r="D6" s="36"/>
      <c r="E6" s="36"/>
      <c r="F6" s="36"/>
      <c r="G6" s="36"/>
      <c r="H6" s="36"/>
      <c r="I6" s="36"/>
      <c r="J6" s="36"/>
      <c r="K6" s="36"/>
      <c r="L6" s="36"/>
      <c r="M6" s="36"/>
      <c r="N6" s="36"/>
      <c r="O6" s="36"/>
      <c r="P6" s="36"/>
      <c r="Q6" s="36"/>
      <c r="R6" s="36"/>
      <c r="S6" s="36"/>
      <c r="T6" s="36"/>
      <c r="U6" s="36"/>
      <c r="V6" s="36"/>
      <c r="W6" s="36"/>
      <c r="X6" s="36"/>
      <c r="Y6" s="36"/>
      <c r="Z6" s="36"/>
      <c r="AA6" s="35"/>
      <c r="AB6" s="35"/>
      <c r="AC6" s="35"/>
      <c r="AD6" s="35"/>
      <c r="AE6" s="35"/>
      <c r="AF6" s="35"/>
      <c r="AG6" s="35"/>
      <c r="AH6" s="35"/>
      <c r="AI6" s="35"/>
      <c r="AJ6" s="35"/>
    </row>
    <row r="7" spans="1:36" x14ac:dyDescent="0.25">
      <c r="A7" s="34"/>
      <c r="B7" s="34"/>
      <c r="C7" s="34"/>
      <c r="D7" s="36"/>
      <c r="E7" s="36"/>
      <c r="F7" s="36"/>
      <c r="G7" s="36"/>
      <c r="H7" s="36"/>
      <c r="I7" s="36"/>
      <c r="J7" s="36"/>
      <c r="K7" s="36"/>
      <c r="L7" s="36"/>
      <c r="M7" s="36"/>
      <c r="N7" s="36"/>
      <c r="O7" s="36"/>
      <c r="P7" s="36"/>
      <c r="Q7" s="36"/>
      <c r="R7" s="36"/>
      <c r="S7" s="36"/>
      <c r="T7" s="36"/>
      <c r="U7" s="36"/>
      <c r="V7" s="36"/>
      <c r="W7" s="36"/>
      <c r="X7" s="36"/>
      <c r="Y7" s="36"/>
      <c r="Z7" s="36"/>
      <c r="AA7" s="35"/>
      <c r="AB7" s="35"/>
      <c r="AC7" s="35"/>
      <c r="AD7" s="35"/>
      <c r="AE7" s="35"/>
      <c r="AF7" s="35"/>
      <c r="AG7" s="35"/>
      <c r="AH7" s="35"/>
      <c r="AI7" s="35"/>
      <c r="AJ7" s="35"/>
    </row>
    <row r="8" spans="1:36" x14ac:dyDescent="0.25">
      <c r="A8" s="34"/>
      <c r="B8" s="34"/>
      <c r="C8" s="34"/>
      <c r="D8" s="36"/>
      <c r="E8" s="36"/>
      <c r="F8" s="36"/>
      <c r="G8" s="36"/>
      <c r="H8" s="36"/>
      <c r="I8" s="36"/>
      <c r="J8" s="36"/>
      <c r="K8" s="36"/>
      <c r="L8" s="36"/>
      <c r="M8" s="36"/>
      <c r="N8" s="36"/>
      <c r="O8" s="36"/>
      <c r="P8" s="36"/>
      <c r="Q8" s="36"/>
      <c r="R8" s="36"/>
      <c r="S8" s="36"/>
      <c r="T8" s="36"/>
      <c r="U8" s="36"/>
      <c r="V8" s="36"/>
      <c r="W8" s="36"/>
      <c r="X8" s="36"/>
      <c r="Y8" s="36"/>
      <c r="Z8" s="36"/>
      <c r="AA8" s="35"/>
      <c r="AB8" s="35"/>
      <c r="AC8" s="35"/>
      <c r="AD8" s="35"/>
      <c r="AE8" s="35"/>
      <c r="AF8" s="35"/>
      <c r="AG8" s="35"/>
      <c r="AH8" s="35"/>
      <c r="AI8" s="35"/>
      <c r="AJ8" s="35"/>
    </row>
    <row r="9" spans="1:36" x14ac:dyDescent="0.25">
      <c r="A9" s="34"/>
      <c r="B9" s="34"/>
      <c r="C9" s="34"/>
      <c r="D9" s="36"/>
      <c r="E9" s="36"/>
      <c r="F9" s="36"/>
      <c r="G9" s="36"/>
      <c r="H9" s="36"/>
      <c r="I9" s="36"/>
      <c r="J9" s="36"/>
      <c r="K9" s="36"/>
      <c r="L9" s="36"/>
      <c r="M9" s="36"/>
      <c r="N9" s="36"/>
      <c r="O9" s="36"/>
      <c r="P9" s="36"/>
      <c r="Q9" s="36"/>
      <c r="R9" s="36"/>
      <c r="S9" s="36"/>
      <c r="T9" s="36"/>
      <c r="U9" s="36"/>
      <c r="V9" s="36"/>
      <c r="W9" s="36"/>
      <c r="X9" s="36"/>
      <c r="Y9" s="36"/>
      <c r="Z9" s="36"/>
      <c r="AA9" s="35"/>
      <c r="AB9" s="35"/>
      <c r="AC9" s="35"/>
      <c r="AD9" s="35"/>
      <c r="AE9" s="35"/>
      <c r="AF9" s="35"/>
      <c r="AG9" s="35"/>
      <c r="AH9" s="35"/>
      <c r="AI9" s="35"/>
      <c r="AJ9" s="35"/>
    </row>
    <row r="10" spans="1:36" x14ac:dyDescent="0.25">
      <c r="A10" s="34"/>
      <c r="B10" s="34"/>
      <c r="C10" s="34"/>
      <c r="D10" s="36"/>
      <c r="E10" s="36"/>
      <c r="F10" s="36"/>
      <c r="G10" s="36"/>
      <c r="H10" s="36"/>
      <c r="I10" s="36"/>
      <c r="J10" s="36"/>
      <c r="K10" s="36"/>
      <c r="L10" s="36"/>
      <c r="M10" s="36"/>
      <c r="N10" s="36"/>
      <c r="O10" s="36"/>
      <c r="P10" s="36"/>
      <c r="Q10" s="36"/>
      <c r="R10" s="36"/>
      <c r="S10" s="36"/>
      <c r="T10" s="36"/>
      <c r="U10" s="36"/>
      <c r="V10" s="36"/>
      <c r="W10" s="36"/>
      <c r="X10" s="36"/>
      <c r="Y10" s="36"/>
      <c r="Z10" s="36"/>
      <c r="AA10" s="35"/>
      <c r="AB10" s="35"/>
      <c r="AC10" s="35"/>
      <c r="AD10" s="35"/>
      <c r="AE10" s="35"/>
      <c r="AF10" s="35"/>
      <c r="AG10" s="35"/>
      <c r="AH10" s="35"/>
      <c r="AI10" s="35"/>
      <c r="AJ10" s="35"/>
    </row>
    <row r="11" spans="1:36" x14ac:dyDescent="0.25">
      <c r="A11" s="34"/>
      <c r="B11" s="34"/>
      <c r="C11" s="34"/>
      <c r="D11" s="36"/>
      <c r="E11" s="36"/>
      <c r="F11" s="36"/>
      <c r="G11" s="36"/>
      <c r="H11" s="36"/>
      <c r="I11" s="36"/>
      <c r="J11" s="36"/>
      <c r="K11" s="36"/>
      <c r="L11" s="36"/>
      <c r="M11" s="36"/>
      <c r="N11" s="36"/>
      <c r="O11" s="36"/>
      <c r="P11" s="36"/>
      <c r="Q11" s="36"/>
      <c r="R11" s="36"/>
      <c r="S11" s="36"/>
      <c r="T11" s="36"/>
      <c r="U11" s="36"/>
      <c r="V11" s="36"/>
      <c r="W11" s="36"/>
      <c r="X11" s="36"/>
      <c r="Y11" s="36"/>
      <c r="Z11" s="36"/>
      <c r="AA11" s="35"/>
      <c r="AB11" s="35"/>
      <c r="AC11" s="35"/>
      <c r="AD11" s="35"/>
      <c r="AE11" s="35"/>
      <c r="AF11" s="35"/>
      <c r="AG11" s="35"/>
      <c r="AH11" s="35"/>
      <c r="AI11" s="35"/>
      <c r="AJ11" s="35"/>
    </row>
    <row r="12" spans="1:36" x14ac:dyDescent="0.25">
      <c r="A12" s="34"/>
      <c r="B12" s="34"/>
      <c r="C12" s="34"/>
      <c r="D12" s="36"/>
      <c r="E12" s="36"/>
      <c r="F12" s="36"/>
      <c r="G12" s="36"/>
      <c r="H12" s="36"/>
      <c r="I12" s="36"/>
      <c r="J12" s="36"/>
      <c r="K12" s="36"/>
      <c r="L12" s="36"/>
      <c r="M12" s="36"/>
      <c r="N12" s="36"/>
      <c r="O12" s="36"/>
      <c r="P12" s="36"/>
      <c r="Q12" s="36"/>
      <c r="R12" s="36"/>
      <c r="S12" s="36"/>
      <c r="T12" s="36"/>
      <c r="U12" s="36"/>
      <c r="V12" s="36"/>
      <c r="W12" s="36"/>
      <c r="X12" s="36"/>
      <c r="Y12" s="36"/>
      <c r="Z12" s="36"/>
      <c r="AA12" s="35"/>
      <c r="AB12" s="35"/>
      <c r="AC12" s="35"/>
      <c r="AD12" s="35"/>
      <c r="AE12" s="35"/>
      <c r="AF12" s="35"/>
      <c r="AG12" s="35"/>
      <c r="AH12" s="35"/>
      <c r="AI12" s="35"/>
      <c r="AJ12" s="35"/>
    </row>
    <row r="13" spans="1:36" x14ac:dyDescent="0.25">
      <c r="A13" s="34"/>
      <c r="B13" s="34"/>
      <c r="C13" s="34"/>
      <c r="D13" s="36"/>
      <c r="E13" s="36"/>
      <c r="F13" s="36"/>
      <c r="G13" s="36"/>
      <c r="H13" s="36"/>
      <c r="I13" s="36"/>
      <c r="J13" s="36"/>
      <c r="K13" s="36"/>
      <c r="L13" s="36"/>
      <c r="M13" s="36"/>
      <c r="N13" s="36"/>
      <c r="O13" s="36"/>
      <c r="P13" s="36"/>
      <c r="Q13" s="36"/>
      <c r="R13" s="36"/>
      <c r="S13" s="36"/>
      <c r="T13" s="36"/>
      <c r="U13" s="36"/>
      <c r="V13" s="36"/>
      <c r="W13" s="36"/>
      <c r="X13" s="36"/>
      <c r="Y13" s="36"/>
      <c r="Z13" s="36"/>
      <c r="AA13" s="35"/>
      <c r="AB13" s="35"/>
      <c r="AC13" s="35"/>
      <c r="AD13" s="35"/>
      <c r="AE13" s="35"/>
      <c r="AF13" s="35"/>
      <c r="AG13" s="35"/>
      <c r="AH13" s="35"/>
      <c r="AI13" s="35"/>
      <c r="AJ13" s="35"/>
    </row>
    <row r="14" spans="1:36" x14ac:dyDescent="0.25">
      <c r="A14" s="34"/>
      <c r="B14" s="34"/>
      <c r="C14" s="34"/>
      <c r="D14" s="36"/>
      <c r="E14" s="36"/>
      <c r="F14" s="36"/>
      <c r="G14" s="36"/>
      <c r="H14" s="36"/>
      <c r="I14" s="36"/>
      <c r="J14" s="36"/>
      <c r="K14" s="36"/>
      <c r="L14" s="36"/>
      <c r="M14" s="36"/>
      <c r="N14" s="36"/>
      <c r="O14" s="36"/>
      <c r="P14" s="36"/>
      <c r="Q14" s="36"/>
      <c r="R14" s="36"/>
      <c r="S14" s="36"/>
      <c r="T14" s="36"/>
      <c r="U14" s="36"/>
      <c r="V14" s="36"/>
      <c r="W14" s="36"/>
      <c r="X14" s="36"/>
      <c r="Y14" s="36"/>
      <c r="Z14" s="36"/>
      <c r="AA14" s="35"/>
      <c r="AB14" s="35"/>
      <c r="AC14" s="35"/>
      <c r="AD14" s="35"/>
      <c r="AE14" s="35"/>
      <c r="AF14" s="35"/>
      <c r="AG14" s="35"/>
      <c r="AH14" s="35"/>
      <c r="AI14" s="35"/>
      <c r="AJ14" s="35"/>
    </row>
    <row r="15" spans="1:36" x14ac:dyDescent="0.25">
      <c r="A15" s="34"/>
      <c r="B15" s="34"/>
      <c r="C15" s="34"/>
      <c r="D15" s="36"/>
      <c r="E15" s="36"/>
      <c r="F15" s="36"/>
      <c r="G15" s="36"/>
      <c r="H15" s="36"/>
      <c r="I15" s="36"/>
      <c r="J15" s="36"/>
      <c r="K15" s="36"/>
      <c r="L15" s="36"/>
      <c r="M15" s="36"/>
      <c r="N15" s="36"/>
      <c r="O15" s="36"/>
      <c r="P15" s="36"/>
      <c r="Q15" s="36"/>
      <c r="R15" s="36"/>
      <c r="S15" s="36"/>
      <c r="T15" s="36"/>
      <c r="U15" s="36"/>
      <c r="V15" s="36"/>
      <c r="W15" s="36"/>
      <c r="X15" s="36"/>
      <c r="Y15" s="36"/>
      <c r="Z15" s="36"/>
      <c r="AA15" s="35"/>
      <c r="AB15" s="35"/>
      <c r="AC15" s="35"/>
      <c r="AD15" s="35"/>
      <c r="AE15" s="35"/>
      <c r="AF15" s="35"/>
      <c r="AG15" s="35"/>
      <c r="AH15" s="35"/>
      <c r="AI15" s="35"/>
      <c r="AJ15" s="35"/>
    </row>
    <row r="16" spans="1:36" x14ac:dyDescent="0.25">
      <c r="A16" s="34"/>
      <c r="B16" s="34"/>
      <c r="C16" s="34"/>
      <c r="D16" s="36"/>
      <c r="E16" s="36"/>
      <c r="F16" s="36"/>
      <c r="G16" s="36"/>
      <c r="H16" s="36"/>
      <c r="I16" s="36"/>
      <c r="J16" s="36"/>
      <c r="K16" s="36"/>
      <c r="L16" s="36"/>
      <c r="M16" s="36"/>
      <c r="N16" s="36"/>
      <c r="O16" s="36"/>
      <c r="P16" s="36"/>
      <c r="Q16" s="36"/>
      <c r="R16" s="36"/>
      <c r="S16" s="36"/>
      <c r="T16" s="36"/>
      <c r="U16" s="36"/>
      <c r="V16" s="36"/>
      <c r="W16" s="36"/>
      <c r="X16" s="36"/>
      <c r="Y16" s="36"/>
      <c r="Z16" s="36"/>
      <c r="AA16" s="35"/>
      <c r="AB16" s="35"/>
      <c r="AC16" s="35"/>
      <c r="AD16" s="35"/>
      <c r="AE16" s="35"/>
      <c r="AF16" s="35"/>
      <c r="AG16" s="35"/>
      <c r="AH16" s="35"/>
      <c r="AI16" s="35"/>
      <c r="AJ16" s="35"/>
    </row>
    <row r="17" spans="1:36" x14ac:dyDescent="0.25">
      <c r="A17" s="34"/>
      <c r="B17" s="34"/>
      <c r="C17" s="34"/>
      <c r="D17" s="36"/>
      <c r="E17" s="36"/>
      <c r="F17" s="36"/>
      <c r="G17" s="36"/>
      <c r="H17" s="36"/>
      <c r="I17" s="36"/>
      <c r="J17" s="36"/>
      <c r="K17" s="36"/>
      <c r="L17" s="36"/>
      <c r="M17" s="36"/>
      <c r="N17" s="36"/>
      <c r="O17" s="36"/>
      <c r="P17" s="36"/>
      <c r="Q17" s="36"/>
      <c r="R17" s="36"/>
      <c r="S17" s="36"/>
      <c r="T17" s="36"/>
      <c r="U17" s="36"/>
      <c r="V17" s="36"/>
      <c r="W17" s="36"/>
      <c r="X17" s="36"/>
      <c r="Y17" s="36"/>
      <c r="Z17" s="36"/>
      <c r="AA17" s="35"/>
      <c r="AB17" s="35"/>
      <c r="AC17" s="35"/>
      <c r="AD17" s="35"/>
      <c r="AE17" s="35"/>
      <c r="AF17" s="35"/>
      <c r="AG17" s="35"/>
      <c r="AH17" s="35"/>
      <c r="AI17" s="35"/>
      <c r="AJ17" s="35"/>
    </row>
    <row r="18" spans="1:36" x14ac:dyDescent="0.25">
      <c r="A18" s="34"/>
      <c r="B18" s="34"/>
      <c r="C18" s="34"/>
      <c r="D18" s="36"/>
      <c r="E18" s="36"/>
      <c r="F18" s="36"/>
      <c r="G18" s="36"/>
      <c r="H18" s="36"/>
      <c r="I18" s="36"/>
      <c r="J18" s="36"/>
      <c r="K18" s="36"/>
      <c r="L18" s="36"/>
      <c r="M18" s="36"/>
      <c r="N18" s="36"/>
      <c r="O18" s="36"/>
      <c r="P18" s="36"/>
      <c r="Q18" s="36"/>
      <c r="R18" s="36"/>
      <c r="S18" s="36"/>
      <c r="T18" s="36"/>
      <c r="U18" s="36"/>
      <c r="V18" s="36"/>
      <c r="W18" s="36"/>
      <c r="X18" s="36"/>
      <c r="Y18" s="36"/>
      <c r="Z18" s="36"/>
      <c r="AA18" s="35"/>
      <c r="AB18" s="35"/>
      <c r="AC18" s="35"/>
      <c r="AD18" s="35"/>
      <c r="AE18" s="35"/>
      <c r="AF18" s="35"/>
      <c r="AG18" s="35"/>
      <c r="AH18" s="35"/>
      <c r="AI18" s="35"/>
      <c r="AJ18" s="35"/>
    </row>
    <row r="19" spans="1:36" x14ac:dyDescent="0.25">
      <c r="A19" s="34"/>
      <c r="B19" s="34"/>
      <c r="C19" s="34"/>
      <c r="D19" s="36"/>
      <c r="E19" s="36"/>
      <c r="F19" s="36"/>
      <c r="G19" s="36"/>
      <c r="H19" s="36"/>
      <c r="I19" s="36"/>
      <c r="J19" s="36"/>
      <c r="K19" s="36"/>
      <c r="L19" s="36"/>
      <c r="M19" s="36"/>
      <c r="N19" s="36"/>
      <c r="O19" s="36"/>
      <c r="P19" s="36"/>
      <c r="Q19" s="36"/>
      <c r="R19" s="36"/>
      <c r="S19" s="36"/>
      <c r="T19" s="36"/>
      <c r="U19" s="36"/>
      <c r="V19" s="36"/>
      <c r="W19" s="36"/>
      <c r="X19" s="36"/>
      <c r="Y19" s="36"/>
      <c r="Z19" s="36"/>
      <c r="AA19" s="35"/>
      <c r="AB19" s="35"/>
      <c r="AC19" s="35"/>
      <c r="AD19" s="35"/>
      <c r="AE19" s="35"/>
      <c r="AF19" s="35"/>
      <c r="AG19" s="35"/>
      <c r="AH19" s="35"/>
      <c r="AI19" s="35"/>
      <c r="AJ19" s="35"/>
    </row>
    <row r="20" spans="1:36" x14ac:dyDescent="0.25">
      <c r="A20" s="34"/>
      <c r="B20" s="34"/>
      <c r="C20" s="34"/>
      <c r="D20" s="36"/>
      <c r="E20" s="36"/>
      <c r="F20" s="36"/>
      <c r="G20" s="36"/>
      <c r="H20" s="36"/>
      <c r="I20" s="36"/>
      <c r="J20" s="36"/>
      <c r="K20" s="36"/>
      <c r="L20" s="36"/>
      <c r="M20" s="36"/>
      <c r="N20" s="36"/>
      <c r="O20" s="36"/>
      <c r="P20" s="36"/>
      <c r="Q20" s="36"/>
      <c r="R20" s="36"/>
      <c r="S20" s="36"/>
      <c r="T20" s="36"/>
      <c r="U20" s="36"/>
      <c r="V20" s="36"/>
      <c r="W20" s="36"/>
      <c r="X20" s="36"/>
      <c r="Y20" s="36"/>
      <c r="Z20" s="36"/>
      <c r="AA20" s="35"/>
      <c r="AB20" s="35"/>
      <c r="AC20" s="35"/>
      <c r="AD20" s="35"/>
      <c r="AE20" s="35"/>
      <c r="AF20" s="35"/>
      <c r="AG20" s="35"/>
      <c r="AH20" s="35"/>
      <c r="AI20" s="35"/>
      <c r="AJ20" s="35"/>
    </row>
    <row r="21" spans="1:36" x14ac:dyDescent="0.25">
      <c r="A21" s="34"/>
      <c r="B21" s="34"/>
      <c r="C21" s="34"/>
      <c r="D21" s="36"/>
      <c r="E21" s="36"/>
      <c r="F21" s="36"/>
      <c r="G21" s="36"/>
      <c r="H21" s="36"/>
      <c r="I21" s="36"/>
      <c r="J21" s="36"/>
      <c r="K21" s="36"/>
      <c r="L21" s="36"/>
      <c r="M21" s="36"/>
      <c r="N21" s="36"/>
      <c r="O21" s="36"/>
      <c r="P21" s="36"/>
      <c r="Q21" s="36"/>
      <c r="R21" s="36"/>
      <c r="S21" s="36"/>
      <c r="T21" s="36"/>
      <c r="U21" s="36"/>
      <c r="V21" s="36"/>
      <c r="W21" s="36"/>
      <c r="X21" s="36"/>
      <c r="Y21" s="36"/>
      <c r="Z21" s="36"/>
      <c r="AA21" s="35"/>
      <c r="AB21" s="35"/>
      <c r="AC21" s="35"/>
      <c r="AD21" s="35"/>
      <c r="AE21" s="35"/>
      <c r="AF21" s="35"/>
      <c r="AG21" s="35"/>
      <c r="AH21" s="35"/>
      <c r="AI21" s="35"/>
      <c r="AJ21" s="35"/>
    </row>
    <row r="22" spans="1:36" x14ac:dyDescent="0.25">
      <c r="A22" s="34"/>
      <c r="B22" s="34"/>
      <c r="C22" s="34"/>
      <c r="D22" s="36"/>
      <c r="E22" s="36"/>
      <c r="F22" s="36"/>
      <c r="G22" s="36"/>
      <c r="H22" s="36"/>
      <c r="I22" s="36"/>
      <c r="J22" s="36"/>
      <c r="K22" s="36"/>
      <c r="L22" s="36"/>
      <c r="M22" s="36"/>
      <c r="N22" s="36"/>
      <c r="O22" s="36"/>
      <c r="P22" s="36"/>
      <c r="Q22" s="36"/>
      <c r="R22" s="36"/>
      <c r="S22" s="36"/>
      <c r="T22" s="36"/>
      <c r="U22" s="36"/>
      <c r="V22" s="36"/>
      <c r="W22" s="36"/>
      <c r="X22" s="36"/>
      <c r="Y22" s="36"/>
      <c r="Z22" s="36"/>
      <c r="AA22" s="35"/>
      <c r="AB22" s="35"/>
      <c r="AC22" s="35"/>
      <c r="AD22" s="35"/>
      <c r="AE22" s="35"/>
      <c r="AF22" s="35"/>
      <c r="AG22" s="35"/>
      <c r="AH22" s="35"/>
      <c r="AI22" s="35"/>
      <c r="AJ22" s="35"/>
    </row>
    <row r="23" spans="1:36" x14ac:dyDescent="0.25">
      <c r="A23" s="34"/>
      <c r="B23" s="34"/>
      <c r="C23" s="34"/>
      <c r="D23" s="36"/>
      <c r="E23" s="36"/>
      <c r="F23" s="36"/>
      <c r="G23" s="36"/>
      <c r="H23" s="36"/>
      <c r="I23" s="36"/>
      <c r="J23" s="36"/>
      <c r="K23" s="36"/>
      <c r="L23" s="36"/>
      <c r="M23" s="36"/>
      <c r="N23" s="36"/>
      <c r="O23" s="36"/>
      <c r="P23" s="36"/>
      <c r="Q23" s="36"/>
      <c r="R23" s="36"/>
      <c r="S23" s="36"/>
      <c r="T23" s="36"/>
      <c r="U23" s="36"/>
      <c r="V23" s="36"/>
      <c r="W23" s="36"/>
      <c r="X23" s="36"/>
      <c r="Y23" s="36"/>
      <c r="Z23" s="36"/>
      <c r="AA23" s="35"/>
      <c r="AB23" s="35"/>
      <c r="AC23" s="35"/>
      <c r="AD23" s="35"/>
      <c r="AE23" s="35"/>
      <c r="AF23" s="35"/>
      <c r="AG23" s="35"/>
      <c r="AH23" s="35"/>
      <c r="AI23" s="35"/>
      <c r="AJ23" s="35"/>
    </row>
    <row r="24" spans="1:36" x14ac:dyDescent="0.25">
      <c r="A24" s="34"/>
      <c r="B24" s="34"/>
      <c r="C24" s="34"/>
      <c r="D24" s="36"/>
      <c r="E24" s="36"/>
      <c r="F24" s="36"/>
      <c r="G24" s="36"/>
      <c r="H24" s="36"/>
      <c r="I24" s="36"/>
      <c r="J24" s="36"/>
      <c r="K24" s="36"/>
      <c r="L24" s="36"/>
      <c r="M24" s="36"/>
      <c r="N24" s="36"/>
      <c r="O24" s="36"/>
      <c r="P24" s="36"/>
      <c r="Q24" s="36"/>
      <c r="R24" s="36"/>
      <c r="S24" s="36"/>
      <c r="T24" s="36"/>
      <c r="U24" s="36"/>
      <c r="V24" s="36"/>
      <c r="W24" s="36"/>
      <c r="X24" s="36"/>
      <c r="Y24" s="36"/>
      <c r="Z24" s="36"/>
      <c r="AA24" s="35"/>
      <c r="AB24" s="35"/>
      <c r="AC24" s="35"/>
      <c r="AD24" s="35"/>
      <c r="AE24" s="35"/>
      <c r="AF24" s="35"/>
      <c r="AG24" s="35"/>
      <c r="AH24" s="35"/>
      <c r="AI24" s="35"/>
      <c r="AJ24" s="35"/>
    </row>
    <row r="25" spans="1:36" x14ac:dyDescent="0.25">
      <c r="A25" s="34"/>
      <c r="B25" s="34"/>
      <c r="C25" s="34"/>
      <c r="D25" s="36"/>
      <c r="E25" s="36"/>
      <c r="F25" s="36"/>
      <c r="G25" s="36"/>
      <c r="H25" s="36"/>
      <c r="I25" s="36"/>
      <c r="J25" s="36"/>
      <c r="K25" s="36"/>
      <c r="L25" s="36"/>
      <c r="M25" s="36"/>
      <c r="N25" s="36"/>
      <c r="O25" s="36"/>
      <c r="P25" s="36"/>
      <c r="Q25" s="36"/>
      <c r="R25" s="36"/>
      <c r="S25" s="36"/>
      <c r="T25" s="36"/>
      <c r="U25" s="36"/>
      <c r="V25" s="36"/>
      <c r="W25" s="36"/>
      <c r="X25" s="36"/>
      <c r="Y25" s="36"/>
      <c r="Z25" s="36"/>
      <c r="AA25" s="35"/>
      <c r="AB25" s="35"/>
      <c r="AC25" s="35"/>
      <c r="AD25" s="35"/>
      <c r="AE25" s="35"/>
      <c r="AF25" s="35"/>
      <c r="AG25" s="35"/>
      <c r="AH25" s="35"/>
      <c r="AI25" s="35"/>
      <c r="AJ25" s="35"/>
    </row>
    <row r="26" spans="1:36" x14ac:dyDescent="0.25">
      <c r="A26" s="34"/>
      <c r="B26" s="34"/>
      <c r="C26" s="34"/>
      <c r="D26" s="36"/>
      <c r="E26" s="36"/>
      <c r="F26" s="36"/>
      <c r="G26" s="36"/>
      <c r="H26" s="36"/>
      <c r="I26" s="36"/>
      <c r="J26" s="36"/>
      <c r="K26" s="36"/>
      <c r="L26" s="36"/>
      <c r="M26" s="36"/>
      <c r="N26" s="36"/>
      <c r="O26" s="36"/>
      <c r="P26" s="36"/>
      <c r="Q26" s="36"/>
      <c r="R26" s="36"/>
      <c r="S26" s="36"/>
      <c r="T26" s="36"/>
      <c r="U26" s="36"/>
      <c r="V26" s="36"/>
      <c r="W26" s="36"/>
      <c r="X26" s="36"/>
      <c r="Y26" s="36"/>
      <c r="Z26" s="36"/>
      <c r="AA26" s="35"/>
      <c r="AB26" s="35"/>
      <c r="AC26" s="35"/>
      <c r="AD26" s="35"/>
      <c r="AE26" s="35"/>
      <c r="AF26" s="35"/>
      <c r="AG26" s="35"/>
      <c r="AH26" s="35"/>
      <c r="AI26" s="35"/>
      <c r="AJ26" s="35"/>
    </row>
    <row r="27" spans="1:36" x14ac:dyDescent="0.25">
      <c r="A27" s="34"/>
      <c r="B27" s="34"/>
      <c r="C27" s="34"/>
      <c r="D27" s="36"/>
      <c r="E27" s="36"/>
      <c r="F27" s="36"/>
      <c r="G27" s="36"/>
      <c r="H27" s="36"/>
      <c r="I27" s="36"/>
      <c r="J27" s="36"/>
      <c r="K27" s="36"/>
      <c r="L27" s="36"/>
      <c r="M27" s="36"/>
      <c r="N27" s="36"/>
      <c r="O27" s="36"/>
      <c r="P27" s="36"/>
      <c r="Q27" s="36"/>
      <c r="R27" s="36"/>
      <c r="S27" s="36"/>
      <c r="T27" s="36"/>
      <c r="U27" s="36"/>
      <c r="V27" s="36"/>
      <c r="W27" s="36"/>
      <c r="X27" s="36"/>
      <c r="Y27" s="36"/>
      <c r="Z27" s="36"/>
      <c r="AA27" s="35"/>
      <c r="AB27" s="35"/>
      <c r="AC27" s="35"/>
      <c r="AD27" s="35"/>
      <c r="AE27" s="35"/>
      <c r="AF27" s="35"/>
      <c r="AG27" s="35"/>
      <c r="AH27" s="35"/>
      <c r="AI27" s="35"/>
      <c r="AJ27" s="35"/>
    </row>
    <row r="28" spans="1:36" x14ac:dyDescent="0.25">
      <c r="A28" s="34"/>
      <c r="B28" s="34"/>
      <c r="C28" s="34"/>
      <c r="D28" s="36"/>
      <c r="E28" s="36"/>
      <c r="F28" s="36"/>
      <c r="G28" s="36"/>
      <c r="H28" s="36"/>
      <c r="I28" s="36"/>
      <c r="J28" s="36"/>
      <c r="K28" s="36"/>
      <c r="L28" s="36"/>
      <c r="M28" s="36"/>
      <c r="N28" s="36"/>
      <c r="O28" s="36"/>
      <c r="P28" s="36"/>
      <c r="Q28" s="36"/>
      <c r="R28" s="36"/>
      <c r="S28" s="36"/>
      <c r="T28" s="36"/>
      <c r="U28" s="36"/>
      <c r="V28" s="36"/>
      <c r="W28" s="36"/>
      <c r="X28" s="36"/>
      <c r="Y28" s="36"/>
      <c r="Z28" s="36"/>
      <c r="AA28" s="35"/>
      <c r="AB28" s="35"/>
      <c r="AC28" s="35"/>
      <c r="AD28" s="35"/>
      <c r="AE28" s="35"/>
      <c r="AF28" s="35"/>
      <c r="AG28" s="35"/>
      <c r="AH28" s="35"/>
      <c r="AI28" s="35"/>
      <c r="AJ28" s="35"/>
    </row>
    <row r="29" spans="1:36" x14ac:dyDescent="0.25">
      <c r="A29" s="34"/>
      <c r="B29" s="34"/>
      <c r="C29" s="34"/>
      <c r="D29" s="36"/>
      <c r="E29" s="36"/>
      <c r="F29" s="36"/>
      <c r="G29" s="36"/>
      <c r="H29" s="36"/>
      <c r="I29" s="36"/>
      <c r="J29" s="36"/>
      <c r="K29" s="36"/>
      <c r="L29" s="36"/>
      <c r="M29" s="36"/>
      <c r="N29" s="36"/>
      <c r="O29" s="36"/>
      <c r="P29" s="36"/>
      <c r="Q29" s="36"/>
      <c r="R29" s="36"/>
      <c r="S29" s="36"/>
      <c r="T29" s="36"/>
      <c r="U29" s="36"/>
      <c r="V29" s="36"/>
      <c r="W29" s="36"/>
      <c r="X29" s="36"/>
      <c r="Y29" s="36"/>
      <c r="Z29" s="36"/>
      <c r="AA29" s="35"/>
      <c r="AB29" s="35"/>
      <c r="AC29" s="35"/>
      <c r="AD29" s="35"/>
      <c r="AE29" s="35"/>
      <c r="AF29" s="35"/>
      <c r="AG29" s="35"/>
      <c r="AH29" s="35"/>
      <c r="AI29" s="35"/>
      <c r="AJ29" s="35"/>
    </row>
    <row r="30" spans="1:36" x14ac:dyDescent="0.25">
      <c r="A30" s="34"/>
      <c r="B30" s="34"/>
      <c r="C30" s="34"/>
      <c r="D30" s="36"/>
      <c r="E30" s="36"/>
      <c r="F30" s="36"/>
      <c r="G30" s="36"/>
      <c r="H30" s="36"/>
      <c r="I30" s="36"/>
      <c r="J30" s="36"/>
      <c r="K30" s="36"/>
      <c r="L30" s="36"/>
      <c r="M30" s="36"/>
      <c r="N30" s="36"/>
      <c r="O30" s="36"/>
      <c r="P30" s="36"/>
      <c r="Q30" s="36"/>
      <c r="R30" s="36"/>
      <c r="S30" s="36"/>
      <c r="T30" s="36"/>
      <c r="U30" s="36"/>
      <c r="V30" s="36"/>
      <c r="W30" s="36"/>
      <c r="X30" s="36"/>
      <c r="Y30" s="36"/>
      <c r="Z30" s="36"/>
      <c r="AA30" s="35"/>
      <c r="AB30" s="35"/>
      <c r="AC30" s="35"/>
      <c r="AD30" s="35"/>
      <c r="AE30" s="35"/>
      <c r="AF30" s="35"/>
      <c r="AG30" s="35"/>
      <c r="AH30" s="35"/>
      <c r="AI30" s="35"/>
      <c r="AJ30" s="35"/>
    </row>
    <row r="31" spans="1:36" x14ac:dyDescent="0.25">
      <c r="A31" s="34"/>
      <c r="B31" s="34"/>
      <c r="C31" s="34"/>
      <c r="D31" s="36"/>
      <c r="E31" s="36"/>
      <c r="F31" s="36"/>
      <c r="G31" s="36"/>
      <c r="H31" s="36"/>
      <c r="I31" s="36"/>
      <c r="J31" s="36"/>
      <c r="K31" s="36"/>
      <c r="L31" s="36"/>
      <c r="M31" s="36"/>
      <c r="N31" s="36"/>
      <c r="O31" s="36"/>
      <c r="P31" s="36"/>
      <c r="Q31" s="36"/>
      <c r="R31" s="36"/>
      <c r="S31" s="36"/>
      <c r="T31" s="36"/>
      <c r="U31" s="36"/>
      <c r="V31" s="36"/>
      <c r="W31" s="36"/>
      <c r="X31" s="36"/>
      <c r="Y31" s="36"/>
      <c r="Z31" s="36"/>
      <c r="AA31" s="35"/>
      <c r="AB31" s="35"/>
      <c r="AC31" s="35"/>
      <c r="AD31" s="35"/>
      <c r="AE31" s="35"/>
      <c r="AF31" s="35"/>
      <c r="AG31" s="35"/>
      <c r="AH31" s="35"/>
      <c r="AI31" s="35"/>
      <c r="AJ31" s="35"/>
    </row>
    <row r="32" spans="1:36" x14ac:dyDescent="0.25">
      <c r="A32" s="34"/>
      <c r="B32" s="34"/>
      <c r="C32" s="34"/>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row>
    <row r="33" spans="1:36" x14ac:dyDescent="0.25">
      <c r="A33" s="34"/>
      <c r="B33" s="34"/>
      <c r="C33" s="34"/>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row>
    <row r="34" spans="1:36" x14ac:dyDescent="0.25">
      <c r="A34" s="34"/>
      <c r="B34" s="34"/>
      <c r="C34" s="34"/>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row>
    <row r="35" spans="1:36" x14ac:dyDescent="0.25">
      <c r="A35" s="34"/>
      <c r="B35" s="34"/>
      <c r="C35" s="34"/>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row>
    <row r="36" spans="1:36" x14ac:dyDescent="0.25">
      <c r="A36" s="34"/>
      <c r="B36" s="34"/>
      <c r="C36" s="34"/>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row>
    <row r="37" spans="1:36" x14ac:dyDescent="0.25">
      <c r="A37" s="34"/>
      <c r="B37" s="34"/>
      <c r="C37" s="34"/>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row>
    <row r="38" spans="1:36" x14ac:dyDescent="0.25">
      <c r="A38" s="34"/>
      <c r="B38" s="34"/>
      <c r="C38" s="34"/>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row>
    <row r="39" spans="1:36" x14ac:dyDescent="0.25">
      <c r="A39" s="34"/>
      <c r="B39" s="34"/>
      <c r="C39" s="34"/>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row>
    <row r="40" spans="1:36" x14ac:dyDescent="0.25">
      <c r="A40" s="34"/>
      <c r="B40" s="34"/>
      <c r="C40" s="34"/>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row>
    <row r="41" spans="1:36" x14ac:dyDescent="0.25">
      <c r="A41" s="34"/>
      <c r="B41" s="34"/>
      <c r="C41" s="34"/>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row>
    <row r="42" spans="1:36" x14ac:dyDescent="0.25">
      <c r="A42" s="34"/>
      <c r="B42" s="34"/>
      <c r="C42" s="34"/>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row>
    <row r="43" spans="1:36" x14ac:dyDescent="0.25">
      <c r="A43" s="34"/>
      <c r="B43" s="34"/>
      <c r="C43" s="34"/>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row>
    <row r="44" spans="1:36" x14ac:dyDescent="0.25">
      <c r="A44" s="34"/>
      <c r="B44" s="34"/>
      <c r="C44" s="34"/>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row>
    <row r="45" spans="1:36" x14ac:dyDescent="0.25">
      <c r="A45" s="34"/>
      <c r="B45" s="34"/>
      <c r="C45" s="34"/>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row>
    <row r="46" spans="1:36" x14ac:dyDescent="0.25">
      <c r="A46" s="34"/>
      <c r="B46" s="34"/>
      <c r="C46" s="34"/>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row>
    <row r="47" spans="1:36" x14ac:dyDescent="0.25">
      <c r="A47" s="34"/>
      <c r="B47" s="34"/>
      <c r="C47" s="34"/>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row>
    <row r="48" spans="1:36" x14ac:dyDescent="0.25">
      <c r="A48" s="34"/>
      <c r="B48" s="34"/>
      <c r="C48" s="34"/>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row>
    <row r="49" spans="1:36" x14ac:dyDescent="0.25">
      <c r="A49" s="34"/>
      <c r="B49" s="34"/>
      <c r="C49" s="34"/>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row>
    <row r="50" spans="1:36" x14ac:dyDescent="0.25">
      <c r="A50" s="34"/>
      <c r="B50" s="34"/>
      <c r="C50" s="34"/>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row>
    <row r="51" spans="1:36" x14ac:dyDescent="0.25">
      <c r="A51" s="34"/>
      <c r="B51" s="34"/>
      <c r="C51" s="34"/>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row>
    <row r="52" spans="1:36" x14ac:dyDescent="0.25">
      <c r="A52" s="34"/>
      <c r="B52" s="34"/>
      <c r="C52" s="34"/>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row>
    <row r="53" spans="1:36" x14ac:dyDescent="0.25">
      <c r="A53" s="34"/>
      <c r="B53" s="34"/>
      <c r="C53" s="34"/>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row>
    <row r="54" spans="1:36" x14ac:dyDescent="0.25">
      <c r="A54" s="34"/>
      <c r="B54" s="34"/>
      <c r="C54" s="34"/>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row>
    <row r="55" spans="1:36" x14ac:dyDescent="0.25">
      <c r="A55" s="34"/>
      <c r="B55" s="34"/>
      <c r="C55" s="34"/>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row>
    <row r="56" spans="1:36" x14ac:dyDescent="0.25">
      <c r="A56" s="34"/>
      <c r="B56" s="34"/>
      <c r="C56" s="34"/>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row>
    <row r="57" spans="1:36" x14ac:dyDescent="0.25">
      <c r="A57" s="34"/>
      <c r="B57" s="34"/>
      <c r="C57" s="34"/>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row>
    <row r="58" spans="1:36" x14ac:dyDescent="0.25">
      <c r="A58" s="34"/>
      <c r="B58" s="34"/>
      <c r="C58" s="34"/>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row>
    <row r="59" spans="1:36" x14ac:dyDescent="0.25">
      <c r="A59" s="34"/>
      <c r="B59" s="34"/>
      <c r="C59" s="34"/>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row>
    <row r="60" spans="1:36" x14ac:dyDescent="0.25">
      <c r="A60" s="34"/>
      <c r="B60" s="34"/>
      <c r="C60" s="34"/>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row>
    <row r="61" spans="1:36" x14ac:dyDescent="0.25">
      <c r="A61" s="34"/>
      <c r="B61" s="34"/>
      <c r="C61" s="34"/>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row>
    <row r="62" spans="1:36" x14ac:dyDescent="0.25">
      <c r="A62" s="34"/>
      <c r="B62" s="34"/>
      <c r="C62" s="34"/>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row>
    <row r="63" spans="1:36" x14ac:dyDescent="0.25">
      <c r="A63" s="34"/>
      <c r="B63" s="34"/>
      <c r="C63" s="34"/>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c r="AI63" s="35"/>
      <c r="AJ63" s="35"/>
    </row>
    <row r="64" spans="1:36" x14ac:dyDescent="0.25">
      <c r="A64" s="34"/>
      <c r="B64" s="34"/>
      <c r="C64" s="34"/>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row>
    <row r="65" spans="1:36" x14ac:dyDescent="0.25">
      <c r="A65" s="34"/>
      <c r="B65" s="34"/>
      <c r="C65" s="34"/>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c r="AF65" s="35"/>
      <c r="AG65" s="35"/>
      <c r="AH65" s="35"/>
      <c r="AI65" s="35"/>
      <c r="AJ65" s="35"/>
    </row>
    <row r="66" spans="1:36" x14ac:dyDescent="0.25">
      <c r="A66" s="34"/>
      <c r="B66" s="34"/>
      <c r="C66" s="34"/>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row>
    <row r="67" spans="1:36" x14ac:dyDescent="0.25">
      <c r="A67" s="34"/>
      <c r="B67" s="34"/>
      <c r="C67" s="34"/>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row>
    <row r="68" spans="1:36" x14ac:dyDescent="0.25">
      <c r="A68" s="34"/>
      <c r="B68" s="34"/>
      <c r="C68" s="34"/>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row>
    <row r="69" spans="1:36" x14ac:dyDescent="0.25">
      <c r="A69" s="34"/>
      <c r="B69" s="34"/>
      <c r="C69" s="34"/>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c r="AH69" s="35"/>
      <c r="AI69" s="35"/>
      <c r="AJ69" s="35"/>
    </row>
    <row r="70" spans="1:36" x14ac:dyDescent="0.25">
      <c r="A70" s="34"/>
      <c r="B70" s="34"/>
      <c r="C70" s="34"/>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row>
    <row r="71" spans="1:36" x14ac:dyDescent="0.25">
      <c r="A71" s="34"/>
      <c r="B71" s="34"/>
      <c r="C71" s="34"/>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c r="AI71" s="35"/>
      <c r="AJ71" s="35"/>
    </row>
    <row r="72" spans="1:36" x14ac:dyDescent="0.25">
      <c r="A72" s="34"/>
      <c r="B72" s="34"/>
      <c r="C72" s="34"/>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row>
    <row r="73" spans="1:36" x14ac:dyDescent="0.25">
      <c r="A73" s="34"/>
      <c r="B73" s="34"/>
      <c r="C73" s="34"/>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row>
    <row r="74" spans="1:36" x14ac:dyDescent="0.25">
      <c r="A74" s="34"/>
      <c r="B74" s="34"/>
      <c r="C74" s="34"/>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row>
    <row r="75" spans="1:36" x14ac:dyDescent="0.25">
      <c r="A75" s="34"/>
      <c r="B75" s="34"/>
      <c r="C75" s="34"/>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row>
    <row r="76" spans="1:36" x14ac:dyDescent="0.25">
      <c r="A76" s="34"/>
      <c r="B76" s="34"/>
      <c r="C76" s="34"/>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c r="AI76" s="35"/>
      <c r="AJ76" s="35"/>
    </row>
    <row r="77" spans="1:36" x14ac:dyDescent="0.25">
      <c r="A77" s="34"/>
      <c r="B77" s="34"/>
      <c r="C77" s="34"/>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row>
    <row r="78" spans="1:36" x14ac:dyDescent="0.25">
      <c r="A78" s="34"/>
      <c r="B78" s="34"/>
      <c r="C78" s="34"/>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row>
    <row r="79" spans="1:36" x14ac:dyDescent="0.25">
      <c r="A79" s="34"/>
      <c r="B79" s="34"/>
      <c r="C79" s="34"/>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row>
    <row r="80" spans="1:36" x14ac:dyDescent="0.25">
      <c r="A80" s="34"/>
      <c r="B80" s="34"/>
      <c r="C80" s="34"/>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5"/>
      <c r="AI80" s="35"/>
      <c r="AJ80" s="35"/>
    </row>
    <row r="81" spans="1:36" x14ac:dyDescent="0.25">
      <c r="A81" s="34"/>
      <c r="B81" s="34"/>
      <c r="C81" s="34"/>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row>
    <row r="82" spans="1:36" x14ac:dyDescent="0.25">
      <c r="A82" s="34"/>
      <c r="B82" s="34"/>
      <c r="C82" s="34"/>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row>
    <row r="83" spans="1:36" x14ac:dyDescent="0.25">
      <c r="A83" s="34"/>
      <c r="B83" s="34"/>
      <c r="C83" s="34"/>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row>
    <row r="84" spans="1:36" x14ac:dyDescent="0.25">
      <c r="A84" s="34"/>
      <c r="B84" s="34"/>
      <c r="C84" s="34"/>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c r="AI84" s="35"/>
      <c r="AJ84" s="35"/>
    </row>
    <row r="85" spans="1:36" x14ac:dyDescent="0.25">
      <c r="A85" s="34"/>
      <c r="B85" s="34"/>
      <c r="C85" s="34"/>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row>
    <row r="86" spans="1:36" x14ac:dyDescent="0.25">
      <c r="A86" s="34"/>
      <c r="B86" s="34"/>
      <c r="C86" s="34"/>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c r="AH86" s="35"/>
      <c r="AI86" s="35"/>
      <c r="AJ86" s="35"/>
    </row>
    <row r="87" spans="1:36" x14ac:dyDescent="0.25">
      <c r="A87" s="34"/>
      <c r="B87" s="34"/>
      <c r="C87" s="34"/>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c r="AH87" s="35"/>
      <c r="AI87" s="35"/>
      <c r="AJ87" s="35"/>
    </row>
    <row r="88" spans="1:36" x14ac:dyDescent="0.25">
      <c r="A88" s="34"/>
      <c r="B88" s="34"/>
      <c r="C88" s="34"/>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c r="AH88" s="35"/>
      <c r="AI88" s="35"/>
      <c r="AJ88" s="35"/>
    </row>
    <row r="89" spans="1:36" x14ac:dyDescent="0.25">
      <c r="A89" s="34"/>
      <c r="B89" s="34"/>
      <c r="C89" s="34"/>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c r="AH89" s="35"/>
      <c r="AI89" s="35"/>
      <c r="AJ89" s="35"/>
    </row>
    <row r="90" spans="1:36" x14ac:dyDescent="0.25">
      <c r="A90" s="34"/>
      <c r="B90" s="34"/>
      <c r="C90" s="34"/>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row>
    <row r="91" spans="1:36" x14ac:dyDescent="0.25">
      <c r="A91" s="34"/>
      <c r="B91" s="34"/>
      <c r="C91" s="34"/>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c r="AI91" s="35"/>
      <c r="AJ91" s="35"/>
    </row>
    <row r="92" spans="1:36" x14ac:dyDescent="0.25">
      <c r="A92" s="34"/>
      <c r="B92" s="34"/>
      <c r="C92" s="34"/>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35"/>
    </row>
    <row r="93" spans="1:36" x14ac:dyDescent="0.25">
      <c r="A93" s="34"/>
      <c r="B93" s="34"/>
      <c r="C93" s="34"/>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row>
    <row r="94" spans="1:36" x14ac:dyDescent="0.25">
      <c r="A94" s="34"/>
      <c r="B94" s="34"/>
      <c r="C94" s="34"/>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row>
    <row r="95" spans="1:36" x14ac:dyDescent="0.25">
      <c r="A95" s="34"/>
      <c r="B95" s="34"/>
      <c r="C95" s="34"/>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row>
    <row r="96" spans="1:36" x14ac:dyDescent="0.25">
      <c r="A96" s="34"/>
      <c r="B96" s="34"/>
      <c r="C96" s="34"/>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row>
    <row r="97" spans="1:36" x14ac:dyDescent="0.25">
      <c r="A97" s="34"/>
      <c r="B97" s="34"/>
      <c r="C97" s="34"/>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row>
    <row r="98" spans="1:36" x14ac:dyDescent="0.25">
      <c r="A98" s="34"/>
      <c r="B98" s="34"/>
      <c r="C98" s="34"/>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row>
    <row r="99" spans="1:36" x14ac:dyDescent="0.25">
      <c r="A99" s="34"/>
      <c r="B99" s="34"/>
      <c r="C99" s="34"/>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row>
    <row r="100" spans="1:36" x14ac:dyDescent="0.25">
      <c r="A100" s="34"/>
      <c r="B100" s="34"/>
      <c r="C100" s="34"/>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row>
    <row r="101" spans="1:36" x14ac:dyDescent="0.25">
      <c r="A101" s="34"/>
      <c r="B101" s="34"/>
      <c r="C101" s="34"/>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row>
    <row r="102" spans="1:36" x14ac:dyDescent="0.25">
      <c r="A102" s="34"/>
      <c r="B102" s="34"/>
      <c r="C102" s="34"/>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row>
    <row r="103" spans="1:36" x14ac:dyDescent="0.25">
      <c r="A103" s="34"/>
      <c r="B103" s="34"/>
      <c r="C103" s="34"/>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row>
    <row r="104" spans="1:36" x14ac:dyDescent="0.25">
      <c r="A104" s="34"/>
      <c r="B104" s="34"/>
      <c r="C104" s="34"/>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row>
    <row r="105" spans="1:36" x14ac:dyDescent="0.25">
      <c r="A105" s="34"/>
      <c r="B105" s="34"/>
      <c r="C105" s="34"/>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row>
    <row r="106" spans="1:36" x14ac:dyDescent="0.25">
      <c r="A106" s="34"/>
      <c r="B106" s="34"/>
      <c r="C106" s="34"/>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row>
    <row r="107" spans="1:36" x14ac:dyDescent="0.25">
      <c r="A107" s="34"/>
      <c r="B107" s="34"/>
      <c r="C107" s="34"/>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row>
    <row r="108" spans="1:36" x14ac:dyDescent="0.25">
      <c r="A108" s="34"/>
      <c r="B108" s="34"/>
      <c r="C108" s="34"/>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row>
    <row r="109" spans="1:36" x14ac:dyDescent="0.25">
      <c r="A109" s="34"/>
      <c r="B109" s="34"/>
      <c r="C109" s="34"/>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row>
    <row r="110" spans="1:36" x14ac:dyDescent="0.25">
      <c r="A110" s="34"/>
      <c r="B110" s="34"/>
      <c r="C110" s="34"/>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row>
    <row r="111" spans="1:36" x14ac:dyDescent="0.25">
      <c r="A111" s="34"/>
      <c r="B111" s="34"/>
      <c r="C111" s="34"/>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row>
    <row r="112" spans="1:36" x14ac:dyDescent="0.25">
      <c r="A112" s="34"/>
      <c r="B112" s="34"/>
      <c r="C112" s="34"/>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row>
    <row r="113" spans="1:3" x14ac:dyDescent="0.25">
      <c r="A113" s="34"/>
      <c r="B113" s="34"/>
      <c r="C113" s="34"/>
    </row>
    <row r="114" spans="1:3" x14ac:dyDescent="0.25">
      <c r="A114" s="34"/>
      <c r="B114" s="34"/>
      <c r="C114" s="34"/>
    </row>
    <row r="115" spans="1:3" x14ac:dyDescent="0.25">
      <c r="A115" s="34"/>
      <c r="B115" s="34"/>
      <c r="C115" s="34"/>
    </row>
    <row r="116" spans="1:3" x14ac:dyDescent="0.25">
      <c r="A116" s="34"/>
      <c r="B116" s="34"/>
      <c r="C116" s="34"/>
    </row>
    <row r="117" spans="1:3" x14ac:dyDescent="0.25">
      <c r="A117" s="34"/>
      <c r="B117" s="34"/>
      <c r="C117" s="34"/>
    </row>
    <row r="118" spans="1:3" x14ac:dyDescent="0.25">
      <c r="A118" s="34"/>
      <c r="B118" s="34"/>
      <c r="C118" s="34"/>
    </row>
    <row r="119" spans="1:3" x14ac:dyDescent="0.25">
      <c r="A119" s="34"/>
      <c r="B119" s="34"/>
      <c r="C119" s="34"/>
    </row>
    <row r="120" spans="1:3" x14ac:dyDescent="0.25">
      <c r="A120" s="34"/>
      <c r="B120" s="34"/>
      <c r="C120" s="34"/>
    </row>
    <row r="121" spans="1:3" x14ac:dyDescent="0.25">
      <c r="A121" s="34"/>
      <c r="B121" s="34"/>
      <c r="C121" s="34"/>
    </row>
    <row r="122" spans="1:3" x14ac:dyDescent="0.25">
      <c r="A122" s="34"/>
      <c r="B122" s="34"/>
      <c r="C122" s="34"/>
    </row>
    <row r="123" spans="1:3" x14ac:dyDescent="0.25">
      <c r="A123" s="34"/>
      <c r="B123" s="34"/>
      <c r="C123" s="34"/>
    </row>
    <row r="124" spans="1:3" x14ac:dyDescent="0.25">
      <c r="A124" s="34"/>
      <c r="B124" s="34"/>
      <c r="C124" s="34"/>
    </row>
    <row r="125" spans="1:3" x14ac:dyDescent="0.25">
      <c r="A125" s="34"/>
      <c r="B125" s="34"/>
      <c r="C125" s="34"/>
    </row>
    <row r="126" spans="1:3" x14ac:dyDescent="0.25">
      <c r="A126" s="34"/>
      <c r="B126" s="34"/>
      <c r="C126" s="34"/>
    </row>
    <row r="127" spans="1:3" x14ac:dyDescent="0.25">
      <c r="A127" s="34"/>
      <c r="B127" s="34"/>
      <c r="C127" s="34"/>
    </row>
    <row r="128" spans="1:3" x14ac:dyDescent="0.25">
      <c r="A128" s="34"/>
      <c r="B128" s="34"/>
      <c r="C128" s="34"/>
    </row>
    <row r="129" spans="1:3" x14ac:dyDescent="0.25">
      <c r="A129" s="34"/>
      <c r="B129" s="34"/>
      <c r="C129" s="34"/>
    </row>
    <row r="130" spans="1:3" x14ac:dyDescent="0.25">
      <c r="A130" s="34"/>
      <c r="B130" s="34"/>
      <c r="C130" s="34"/>
    </row>
    <row r="131" spans="1:3" x14ac:dyDescent="0.25">
      <c r="A131" s="34"/>
      <c r="B131" s="34"/>
      <c r="C131" s="34"/>
    </row>
    <row r="132" spans="1:3" x14ac:dyDescent="0.25">
      <c r="A132" s="34"/>
      <c r="B132" s="34"/>
      <c r="C132" s="34"/>
    </row>
    <row r="133" spans="1:3" x14ac:dyDescent="0.25">
      <c r="A133" s="34"/>
      <c r="B133" s="34"/>
      <c r="C133" s="34"/>
    </row>
    <row r="134" spans="1:3" x14ac:dyDescent="0.25">
      <c r="A134" s="34"/>
      <c r="B134" s="34"/>
      <c r="C134" s="34"/>
    </row>
    <row r="135" spans="1:3" x14ac:dyDescent="0.25">
      <c r="A135" s="34"/>
      <c r="B135" s="34"/>
      <c r="C135" s="34"/>
    </row>
    <row r="136" spans="1:3" x14ac:dyDescent="0.25">
      <c r="A136" s="34"/>
      <c r="B136" s="34"/>
      <c r="C136" s="34"/>
    </row>
    <row r="137" spans="1:3" x14ac:dyDescent="0.25">
      <c r="A137" s="34"/>
      <c r="B137" s="34"/>
      <c r="C137" s="34"/>
    </row>
    <row r="138" spans="1:3" x14ac:dyDescent="0.25">
      <c r="A138" s="34"/>
      <c r="B138" s="34"/>
      <c r="C138" s="34"/>
    </row>
    <row r="139" spans="1:3" x14ac:dyDescent="0.25">
      <c r="A139" s="34"/>
      <c r="B139" s="34"/>
      <c r="C139" s="34"/>
    </row>
    <row r="140" spans="1:3" x14ac:dyDescent="0.25">
      <c r="A140" s="34"/>
      <c r="B140" s="34"/>
      <c r="C140" s="34"/>
    </row>
    <row r="141" spans="1:3" x14ac:dyDescent="0.25">
      <c r="A141" s="34"/>
      <c r="B141" s="34"/>
      <c r="C141" s="34"/>
    </row>
    <row r="142" spans="1:3" x14ac:dyDescent="0.25">
      <c r="A142" s="34"/>
      <c r="B142" s="34"/>
      <c r="C142" s="34"/>
    </row>
    <row r="143" spans="1:3" x14ac:dyDescent="0.25">
      <c r="A143" s="34"/>
      <c r="B143" s="34"/>
      <c r="C143" s="34"/>
    </row>
    <row r="144" spans="1:3" x14ac:dyDescent="0.25">
      <c r="A144" s="34"/>
      <c r="B144" s="34"/>
      <c r="C144" s="34"/>
    </row>
    <row r="145" spans="1:3" x14ac:dyDescent="0.25">
      <c r="A145" s="34"/>
      <c r="B145" s="34"/>
      <c r="C145" s="34"/>
    </row>
    <row r="146" spans="1:3" x14ac:dyDescent="0.25">
      <c r="A146" s="34"/>
      <c r="B146" s="34"/>
      <c r="C146" s="34"/>
    </row>
    <row r="147" spans="1:3" x14ac:dyDescent="0.25">
      <c r="A147" s="34"/>
      <c r="B147" s="34"/>
      <c r="C147" s="34"/>
    </row>
    <row r="148" spans="1:3" x14ac:dyDescent="0.25">
      <c r="A148" s="34"/>
      <c r="B148" s="34"/>
      <c r="C148" s="34"/>
    </row>
    <row r="149" spans="1:3" x14ac:dyDescent="0.25">
      <c r="A149" s="34"/>
      <c r="B149" s="34"/>
      <c r="C149" s="34"/>
    </row>
    <row r="150" spans="1:3" x14ac:dyDescent="0.25">
      <c r="A150" s="34"/>
      <c r="B150" s="34"/>
      <c r="C150" s="34"/>
    </row>
    <row r="151" spans="1:3" x14ac:dyDescent="0.25">
      <c r="A151" s="34"/>
      <c r="B151" s="34"/>
      <c r="C151" s="34"/>
    </row>
    <row r="152" spans="1:3" x14ac:dyDescent="0.25">
      <c r="A152" s="34"/>
      <c r="B152" s="34"/>
      <c r="C152" s="34"/>
    </row>
    <row r="153" spans="1:3" x14ac:dyDescent="0.25">
      <c r="A153" s="34"/>
      <c r="B153" s="34"/>
      <c r="C153" s="34"/>
    </row>
    <row r="154" spans="1:3" x14ac:dyDescent="0.25">
      <c r="A154" s="34"/>
      <c r="B154" s="34"/>
      <c r="C154" s="34"/>
    </row>
    <row r="155" spans="1:3" x14ac:dyDescent="0.25">
      <c r="A155" s="34"/>
      <c r="B155" s="34"/>
      <c r="C155" s="34"/>
    </row>
    <row r="156" spans="1:3" x14ac:dyDescent="0.25">
      <c r="A156" s="34"/>
      <c r="B156" s="34"/>
      <c r="C156" s="34"/>
    </row>
    <row r="157" spans="1:3" x14ac:dyDescent="0.25">
      <c r="A157" s="34"/>
      <c r="B157" s="34"/>
      <c r="C157" s="34"/>
    </row>
    <row r="158" spans="1:3" x14ac:dyDescent="0.25">
      <c r="A158" s="34"/>
      <c r="B158" s="34"/>
      <c r="C158" s="34"/>
    </row>
    <row r="159" spans="1:3" x14ac:dyDescent="0.25">
      <c r="A159" s="34"/>
      <c r="B159" s="34"/>
      <c r="C159" s="34"/>
    </row>
    <row r="160" spans="1:3" x14ac:dyDescent="0.25">
      <c r="A160" s="34"/>
      <c r="B160" s="34"/>
      <c r="C160" s="34"/>
    </row>
    <row r="161" spans="1:3" x14ac:dyDescent="0.25">
      <c r="A161" s="34"/>
      <c r="B161" s="34"/>
      <c r="C161" s="34"/>
    </row>
    <row r="162" spans="1:3" x14ac:dyDescent="0.25">
      <c r="A162" s="34"/>
      <c r="B162" s="34"/>
      <c r="C162" s="34"/>
    </row>
    <row r="163" spans="1:3" x14ac:dyDescent="0.25">
      <c r="A163" s="34"/>
      <c r="B163" s="34"/>
      <c r="C163" s="34"/>
    </row>
    <row r="164" spans="1:3" x14ac:dyDescent="0.25">
      <c r="A164" s="34"/>
      <c r="B164" s="34"/>
      <c r="C164" s="34"/>
    </row>
    <row r="165" spans="1:3" x14ac:dyDescent="0.25">
      <c r="A165" s="34"/>
      <c r="B165" s="34"/>
      <c r="C165" s="34"/>
    </row>
    <row r="166" spans="1:3" x14ac:dyDescent="0.25">
      <c r="A166" s="34"/>
      <c r="B166" s="34"/>
      <c r="C166" s="34"/>
    </row>
    <row r="167" spans="1:3" x14ac:dyDescent="0.25">
      <c r="A167" s="34"/>
      <c r="B167" s="34"/>
      <c r="C167" s="34"/>
    </row>
    <row r="168" spans="1:3" x14ac:dyDescent="0.25">
      <c r="A168" s="34"/>
      <c r="B168" s="34"/>
      <c r="C168" s="34"/>
    </row>
    <row r="169" spans="1:3" x14ac:dyDescent="0.25">
      <c r="A169" s="34"/>
      <c r="B169" s="34"/>
      <c r="C169" s="34"/>
    </row>
    <row r="170" spans="1:3" x14ac:dyDescent="0.25">
      <c r="A170" s="34"/>
      <c r="B170" s="34"/>
      <c r="C170" s="34"/>
    </row>
    <row r="171" spans="1:3" x14ac:dyDescent="0.25">
      <c r="A171" s="34"/>
      <c r="B171" s="34"/>
      <c r="C171" s="34"/>
    </row>
    <row r="172" spans="1:3" x14ac:dyDescent="0.25">
      <c r="A172" s="34"/>
      <c r="B172" s="34"/>
      <c r="C172" s="34"/>
    </row>
    <row r="173" spans="1:3" x14ac:dyDescent="0.25">
      <c r="A173" s="34"/>
      <c r="B173" s="34"/>
      <c r="C173" s="34"/>
    </row>
    <row r="174" spans="1:3" x14ac:dyDescent="0.25">
      <c r="A174" s="34"/>
      <c r="B174" s="34"/>
      <c r="C174" s="34"/>
    </row>
    <row r="175" spans="1:3" x14ac:dyDescent="0.25">
      <c r="A175" s="34"/>
      <c r="B175" s="34"/>
      <c r="C175" s="34"/>
    </row>
    <row r="176" spans="1:3" x14ac:dyDescent="0.25">
      <c r="A176" s="34"/>
      <c r="B176" s="34"/>
      <c r="C176" s="34"/>
    </row>
    <row r="177" spans="1:3" x14ac:dyDescent="0.25">
      <c r="A177" s="34"/>
      <c r="B177" s="34"/>
      <c r="C177" s="34"/>
    </row>
    <row r="178" spans="1:3" x14ac:dyDescent="0.25">
      <c r="A178" s="34"/>
      <c r="B178" s="34"/>
      <c r="C178" s="34"/>
    </row>
    <row r="179" spans="1:3" x14ac:dyDescent="0.25">
      <c r="A179" s="34"/>
      <c r="B179" s="34"/>
      <c r="C179" s="34"/>
    </row>
    <row r="180" spans="1:3" x14ac:dyDescent="0.25">
      <c r="A180" s="34"/>
      <c r="B180" s="34"/>
      <c r="C180" s="34"/>
    </row>
    <row r="181" spans="1:3" x14ac:dyDescent="0.25">
      <c r="A181" s="34"/>
      <c r="B181" s="34"/>
      <c r="C181" s="34"/>
    </row>
    <row r="182" spans="1:3" x14ac:dyDescent="0.25">
      <c r="A182" s="34"/>
      <c r="B182" s="34"/>
      <c r="C182" s="34"/>
    </row>
    <row r="183" spans="1:3" x14ac:dyDescent="0.25">
      <c r="A183" s="34"/>
      <c r="B183" s="34"/>
      <c r="C183" s="34"/>
    </row>
    <row r="184" spans="1:3" x14ac:dyDescent="0.25">
      <c r="A184" s="34"/>
      <c r="B184" s="34"/>
      <c r="C184" s="34"/>
    </row>
    <row r="185" spans="1:3" x14ac:dyDescent="0.25">
      <c r="A185" s="34"/>
      <c r="B185" s="34"/>
      <c r="C185" s="34"/>
    </row>
    <row r="186" spans="1:3" x14ac:dyDescent="0.25">
      <c r="A186" s="34"/>
      <c r="B186" s="34"/>
      <c r="C186" s="34"/>
    </row>
    <row r="187" spans="1:3" x14ac:dyDescent="0.25">
      <c r="A187" s="34"/>
      <c r="B187" s="34"/>
      <c r="C187" s="34"/>
    </row>
    <row r="188" spans="1:3" x14ac:dyDescent="0.25">
      <c r="A188" s="34"/>
      <c r="B188" s="34"/>
      <c r="C188" s="34"/>
    </row>
    <row r="189" spans="1:3" x14ac:dyDescent="0.25">
      <c r="A189" s="34"/>
      <c r="B189" s="34"/>
      <c r="C189" s="34"/>
    </row>
    <row r="190" spans="1:3" x14ac:dyDescent="0.25">
      <c r="A190" s="34"/>
      <c r="B190" s="34"/>
      <c r="C190" s="34"/>
    </row>
    <row r="191" spans="1:3" x14ac:dyDescent="0.25">
      <c r="A191" s="34"/>
      <c r="B191" s="34"/>
      <c r="C191" s="34"/>
    </row>
    <row r="192" spans="1:3" x14ac:dyDescent="0.25">
      <c r="A192" s="34"/>
      <c r="B192" s="34"/>
      <c r="C192" s="34"/>
    </row>
    <row r="193" spans="1:3" x14ac:dyDescent="0.25">
      <c r="A193" s="34"/>
      <c r="B193" s="34"/>
      <c r="C193" s="34"/>
    </row>
    <row r="194" spans="1:3" x14ac:dyDescent="0.25">
      <c r="A194" s="34"/>
      <c r="B194" s="34"/>
      <c r="C194" s="34"/>
    </row>
    <row r="195" spans="1:3" x14ac:dyDescent="0.25">
      <c r="A195" s="34"/>
      <c r="B195" s="34"/>
      <c r="C195" s="34"/>
    </row>
    <row r="196" spans="1:3" x14ac:dyDescent="0.25">
      <c r="A196" s="34"/>
      <c r="B196" s="34"/>
      <c r="C196" s="34"/>
    </row>
    <row r="197" spans="1:3" x14ac:dyDescent="0.25">
      <c r="A197" s="34"/>
      <c r="B197" s="34"/>
      <c r="C197" s="34"/>
    </row>
    <row r="198" spans="1:3" x14ac:dyDescent="0.25">
      <c r="A198" s="34"/>
      <c r="B198" s="34"/>
      <c r="C198" s="34"/>
    </row>
    <row r="199" spans="1:3" x14ac:dyDescent="0.25">
      <c r="A199" s="34"/>
      <c r="B199" s="34"/>
      <c r="C199" s="34"/>
    </row>
    <row r="200" spans="1:3" x14ac:dyDescent="0.25">
      <c r="A200" s="34"/>
      <c r="B200" s="34"/>
      <c r="C200" s="34"/>
    </row>
    <row r="201" spans="1:3" x14ac:dyDescent="0.25">
      <c r="A201" s="34"/>
      <c r="B201" s="34"/>
      <c r="C201" s="34"/>
    </row>
    <row r="202" spans="1:3" x14ac:dyDescent="0.25">
      <c r="A202" s="34"/>
      <c r="B202" s="34"/>
      <c r="C202" s="34"/>
    </row>
    <row r="203" spans="1:3" x14ac:dyDescent="0.25">
      <c r="A203" s="34"/>
      <c r="B203" s="34"/>
      <c r="C203" s="34"/>
    </row>
    <row r="204" spans="1:3" x14ac:dyDescent="0.25">
      <c r="A204" s="34"/>
      <c r="B204" s="34"/>
      <c r="C204" s="34"/>
    </row>
    <row r="205" spans="1:3" x14ac:dyDescent="0.25">
      <c r="A205" s="34"/>
      <c r="B205" s="34"/>
      <c r="C205" s="34"/>
    </row>
    <row r="206" spans="1:3" x14ac:dyDescent="0.25">
      <c r="A206" s="34"/>
      <c r="B206" s="34"/>
      <c r="C206" s="34"/>
    </row>
    <row r="207" spans="1:3" x14ac:dyDescent="0.25">
      <c r="A207" s="34"/>
      <c r="B207" s="34"/>
      <c r="C207" s="34"/>
    </row>
    <row r="208" spans="1:3" x14ac:dyDescent="0.25">
      <c r="A208" s="34"/>
      <c r="B208" s="34"/>
      <c r="C208" s="34"/>
    </row>
    <row r="209" spans="1:3" x14ac:dyDescent="0.25">
      <c r="A209" s="34"/>
      <c r="B209" s="34"/>
      <c r="C209" s="34"/>
    </row>
    <row r="210" spans="1:3" x14ac:dyDescent="0.25">
      <c r="A210" s="34"/>
      <c r="B210" s="34"/>
      <c r="C210" s="34"/>
    </row>
    <row r="211" spans="1:3" x14ac:dyDescent="0.25">
      <c r="A211" s="34"/>
      <c r="B211" s="34"/>
      <c r="C211" s="34"/>
    </row>
    <row r="212" spans="1:3" x14ac:dyDescent="0.25">
      <c r="A212" s="34"/>
      <c r="B212" s="34"/>
      <c r="C212" s="34"/>
    </row>
    <row r="213" spans="1:3" x14ac:dyDescent="0.25">
      <c r="A213" s="34"/>
      <c r="B213" s="34"/>
      <c r="C213" s="34"/>
    </row>
    <row r="214" spans="1:3" x14ac:dyDescent="0.25">
      <c r="A214" s="34"/>
      <c r="B214" s="34"/>
      <c r="C214" s="34"/>
    </row>
    <row r="215" spans="1:3" x14ac:dyDescent="0.25">
      <c r="A215" s="34"/>
      <c r="B215" s="34"/>
      <c r="C215" s="34"/>
    </row>
    <row r="216" spans="1:3" x14ac:dyDescent="0.25">
      <c r="A216" s="34"/>
      <c r="B216" s="34"/>
      <c r="C216" s="34"/>
    </row>
    <row r="217" spans="1:3" x14ac:dyDescent="0.25">
      <c r="A217" s="34"/>
      <c r="B217" s="34"/>
      <c r="C217" s="34"/>
    </row>
  </sheetData>
  <mergeCells count="1">
    <mergeCell ref="F1: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Raw_Data</vt:lpstr>
      <vt:lpstr>Work</vt:lpstr>
      <vt:lpstr>Pivot_Table</vt:lpstr>
      <vt:lpstr>Pivot_Table_2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Harrison Jere</cp:lastModifiedBy>
  <dcterms:created xsi:type="dcterms:W3CDTF">2026-05-27T12:53:04Z</dcterms:created>
  <dcterms:modified xsi:type="dcterms:W3CDTF">2026-05-28T05:34:18Z</dcterms:modified>
</cp:coreProperties>
</file>